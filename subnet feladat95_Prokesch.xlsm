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ky\Desktop\"/>
    </mc:Choice>
  </mc:AlternateContent>
  <xr:revisionPtr revIDLastSave="0" documentId="8_{77DED3CE-44CE-410E-9FE7-F3029F3E4872}" xr6:coauthVersionLast="45" xr6:coauthVersionMax="45" xr10:uidLastSave="{00000000-0000-0000-0000-000000000000}"/>
  <bookViews>
    <workbookView xWindow="0" yWindow="510" windowWidth="21600" windowHeight="11505" xr2:uid="{00000000-000D-0000-FFFF-FFFF00000000}"/>
  </bookViews>
  <sheets>
    <sheet name="142.159.70.178" sheetId="8" r:id="rId1"/>
    <sheet name="118.25.74.86" sheetId="12" r:id="rId2"/>
    <sheet name="144.72.60.1" sheetId="11" r:id="rId3"/>
    <sheet name="229.93.192.39" sheetId="10" r:id="rId4"/>
    <sheet name="Munka1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9" i="12" l="1"/>
  <c r="L19" i="12" s="1"/>
  <c r="K19" i="12" s="1"/>
  <c r="J19" i="12" s="1"/>
  <c r="I19" i="12" s="1"/>
  <c r="H19" i="12" s="1"/>
  <c r="G19" i="12" s="1"/>
  <c r="F19" i="12" s="1"/>
  <c r="M23" i="12" s="1"/>
  <c r="L23" i="12" s="1"/>
  <c r="K23" i="12" s="1"/>
  <c r="J23" i="12" s="1"/>
  <c r="I23" i="12" s="1"/>
  <c r="H23" i="12" s="1"/>
  <c r="G23" i="12" s="1"/>
  <c r="F23" i="12" s="1"/>
  <c r="M27" i="12" s="1"/>
  <c r="L27" i="12" s="1"/>
  <c r="K27" i="12" s="1"/>
  <c r="J27" i="12" s="1"/>
  <c r="I27" i="12" s="1"/>
  <c r="H27" i="12" s="1"/>
  <c r="G27" i="12" s="1"/>
  <c r="F27" i="12" s="1"/>
  <c r="M16" i="12"/>
  <c r="L16" i="12"/>
  <c r="K16" i="12"/>
  <c r="J16" i="12"/>
  <c r="I16" i="12"/>
  <c r="H16" i="12"/>
  <c r="G16" i="12"/>
  <c r="F16" i="12"/>
  <c r="G8" i="12"/>
  <c r="G7" i="12"/>
  <c r="E4" i="12"/>
  <c r="F3" i="12"/>
  <c r="C1" i="12"/>
  <c r="A1" i="12"/>
  <c r="M19" i="11"/>
  <c r="L19" i="11" s="1"/>
  <c r="K19" i="11" s="1"/>
  <c r="J19" i="11" s="1"/>
  <c r="I19" i="11" s="1"/>
  <c r="H19" i="11" s="1"/>
  <c r="G19" i="11" s="1"/>
  <c r="F19" i="11" s="1"/>
  <c r="M23" i="11" s="1"/>
  <c r="L23" i="11" s="1"/>
  <c r="K23" i="11" s="1"/>
  <c r="J23" i="11" s="1"/>
  <c r="I23" i="11" s="1"/>
  <c r="H23" i="11" s="1"/>
  <c r="G23" i="11" s="1"/>
  <c r="F23" i="11" s="1"/>
  <c r="M27" i="11" s="1"/>
  <c r="L27" i="11" s="1"/>
  <c r="K27" i="11" s="1"/>
  <c r="J27" i="11" s="1"/>
  <c r="I27" i="11" s="1"/>
  <c r="H27" i="11" s="1"/>
  <c r="G27" i="11" s="1"/>
  <c r="F27" i="11" s="1"/>
  <c r="M16" i="11"/>
  <c r="L16" i="11"/>
  <c r="K16" i="11"/>
  <c r="J16" i="11"/>
  <c r="I16" i="11"/>
  <c r="H16" i="11"/>
  <c r="G16" i="11"/>
  <c r="F16" i="11"/>
  <c r="G8" i="11"/>
  <c r="G7" i="11"/>
  <c r="E4" i="11"/>
  <c r="F3" i="11"/>
  <c r="C1" i="11"/>
  <c r="A1" i="11"/>
  <c r="M19" i="10"/>
  <c r="L19" i="10" s="1"/>
  <c r="K19" i="10" s="1"/>
  <c r="J19" i="10" s="1"/>
  <c r="I19" i="10" s="1"/>
  <c r="H19" i="10" s="1"/>
  <c r="G19" i="10" s="1"/>
  <c r="F19" i="10" s="1"/>
  <c r="M23" i="10" s="1"/>
  <c r="L23" i="10" s="1"/>
  <c r="K23" i="10" s="1"/>
  <c r="J23" i="10" s="1"/>
  <c r="I23" i="10" s="1"/>
  <c r="H23" i="10" s="1"/>
  <c r="G23" i="10" s="1"/>
  <c r="F23" i="10" s="1"/>
  <c r="M27" i="10" s="1"/>
  <c r="L27" i="10" s="1"/>
  <c r="K27" i="10" s="1"/>
  <c r="J27" i="10" s="1"/>
  <c r="I27" i="10" s="1"/>
  <c r="H27" i="10" s="1"/>
  <c r="G27" i="10" s="1"/>
  <c r="F27" i="10" s="1"/>
  <c r="M16" i="10"/>
  <c r="L16" i="10"/>
  <c r="K16" i="10"/>
  <c r="J16" i="10"/>
  <c r="I16" i="10"/>
  <c r="H16" i="10"/>
  <c r="G16" i="10"/>
  <c r="F16" i="10"/>
  <c r="G8" i="10"/>
  <c r="G7" i="10"/>
  <c r="E4" i="10"/>
  <c r="F3" i="10"/>
  <c r="C1" i="10"/>
  <c r="A1" i="10"/>
  <c r="M19" i="8" l="1"/>
  <c r="L19" i="8" s="1"/>
  <c r="K19" i="8" s="1"/>
  <c r="J19" i="8" s="1"/>
  <c r="I19" i="8" s="1"/>
  <c r="H19" i="8" s="1"/>
  <c r="G19" i="8" s="1"/>
  <c r="F19" i="8" s="1"/>
  <c r="M23" i="8" s="1"/>
  <c r="L23" i="8" s="1"/>
  <c r="K23" i="8" s="1"/>
  <c r="J23" i="8" s="1"/>
  <c r="I23" i="8" s="1"/>
  <c r="H23" i="8" s="1"/>
  <c r="G23" i="8" s="1"/>
  <c r="F23" i="8" s="1"/>
  <c r="M27" i="8" s="1"/>
  <c r="L27" i="8" s="1"/>
  <c r="K27" i="8" s="1"/>
  <c r="J27" i="8" s="1"/>
  <c r="I27" i="8" s="1"/>
  <c r="H27" i="8" s="1"/>
  <c r="G27" i="8" s="1"/>
  <c r="F27" i="8" s="1"/>
  <c r="M16" i="8"/>
  <c r="L16" i="8"/>
  <c r="K16" i="8"/>
  <c r="J16" i="8"/>
  <c r="I16" i="8"/>
  <c r="H16" i="8"/>
  <c r="G16" i="8"/>
  <c r="F16" i="8"/>
  <c r="G8" i="8"/>
  <c r="G7" i="8"/>
  <c r="E4" i="8"/>
  <c r="F3" i="8"/>
  <c r="C1" i="8"/>
  <c r="A1" i="8"/>
  <c r="H20" i="9"/>
  <c r="G3" i="9" a="1"/>
  <c r="G21" i="9" a="1"/>
  <c r="I21" i="9" a="1"/>
  <c r="I14" i="9" a="1"/>
  <c r="I29" i="9" a="1"/>
  <c r="I6" i="9" a="1"/>
  <c r="G19" i="9" a="1"/>
  <c r="J27" i="9"/>
  <c r="J29" i="9"/>
  <c r="H5" i="9"/>
  <c r="H12" i="9"/>
  <c r="J14" i="9"/>
  <c r="J5" i="9"/>
  <c r="G6" i="9" a="1"/>
  <c r="J26" i="9"/>
  <c r="I22" i="9" a="1"/>
  <c r="J22" i="9"/>
  <c r="J21" i="9"/>
  <c r="I19" i="9" a="1"/>
  <c r="I20" i="9" a="1"/>
  <c r="G16" i="9" a="1"/>
  <c r="J20" i="9"/>
  <c r="H26" i="9"/>
  <c r="I7" i="9" a="1"/>
  <c r="H15" i="9"/>
  <c r="G10" i="9" a="1"/>
  <c r="L4" i="9"/>
  <c r="I26" i="9" a="1"/>
  <c r="G8" i="9" a="1"/>
  <c r="G15" i="9" a="1"/>
  <c r="I23" i="9" a="1"/>
  <c r="I17" i="9" a="1"/>
  <c r="H29" i="9"/>
  <c r="G13" i="9" a="1"/>
  <c r="I5" i="9" a="1"/>
  <c r="G23" i="9" a="1"/>
  <c r="H16" i="9"/>
  <c r="I15" i="9" a="1"/>
  <c r="G24" i="9" a="1"/>
  <c r="J24" i="9"/>
  <c r="I27" i="9" a="1"/>
  <c r="J17" i="9"/>
  <c r="H11" i="9"/>
  <c r="G12" i="9" a="1"/>
  <c r="J19" i="9"/>
  <c r="G17" i="9" a="1"/>
  <c r="J25" i="9"/>
  <c r="I9" i="9" a="1"/>
  <c r="G2" i="9" a="1"/>
  <c r="J15" i="9"/>
  <c r="H21" i="9"/>
  <c r="J23" i="9"/>
  <c r="H19" i="9"/>
  <c r="I18" i="9" a="1"/>
  <c r="G14" i="9" a="1"/>
  <c r="I25" i="9" a="1"/>
  <c r="I11" i="9" a="1"/>
  <c r="H17" i="9"/>
  <c r="I13" i="9" a="1"/>
  <c r="H6" i="9"/>
  <c r="J16" i="9"/>
  <c r="G25" i="9" a="1"/>
  <c r="H27" i="9"/>
  <c r="G5" i="9" a="1"/>
  <c r="I28" i="9" a="1"/>
  <c r="H18" i="9"/>
  <c r="H25" i="9"/>
  <c r="H8" i="9"/>
  <c r="G29" i="9" a="1"/>
  <c r="G28" i="9" a="1"/>
  <c r="G7" i="9" a="1"/>
  <c r="G22" i="9" a="1"/>
  <c r="H24" i="9"/>
  <c r="I3" i="9" a="1"/>
  <c r="J2" i="9"/>
  <c r="J9" i="9"/>
  <c r="I8" i="9" a="1"/>
  <c r="J11" i="9"/>
  <c r="G9" i="9" a="1"/>
  <c r="H28" i="9"/>
  <c r="I4" i="9" a="1"/>
  <c r="H14" i="9"/>
  <c r="I10" i="9" a="1"/>
  <c r="I24" i="9" a="1"/>
  <c r="J7" i="9"/>
  <c r="H3" i="9"/>
  <c r="G11" i="9" a="1"/>
  <c r="H9" i="9"/>
  <c r="G27" i="9" a="1"/>
  <c r="J3" i="9"/>
  <c r="I2" i="9" a="1"/>
  <c r="J18" i="9"/>
  <c r="G4" i="9" a="1"/>
  <c r="H22" i="9"/>
  <c r="H13" i="9"/>
  <c r="J12" i="9"/>
  <c r="J13" i="9"/>
  <c r="I16" i="9" a="1"/>
  <c r="H2" i="9"/>
  <c r="H10" i="9"/>
  <c r="H4" i="9"/>
  <c r="J8" i="9"/>
  <c r="G20" i="9" a="1"/>
  <c r="G26" i="9" a="1"/>
  <c r="I12" i="9" a="1"/>
  <c r="J6" i="9"/>
  <c r="H7" i="9"/>
  <c r="J10" i="9"/>
  <c r="J28" i="9"/>
  <c r="H23" i="9"/>
  <c r="G18" i="9" a="1"/>
  <c r="J4" i="9"/>
  <c r="I29" i="9" l="1"/>
  <c r="I23" i="9"/>
  <c r="I21" i="9"/>
  <c r="I19" i="9"/>
  <c r="I17" i="9"/>
  <c r="I15" i="9"/>
  <c r="I9" i="9"/>
  <c r="I7" i="9"/>
  <c r="I5" i="9"/>
  <c r="I3" i="9"/>
  <c r="G28" i="9"/>
  <c r="G26" i="9"/>
  <c r="G24" i="9"/>
  <c r="G22" i="9"/>
  <c r="G20" i="9"/>
  <c r="G18" i="9"/>
  <c r="G16" i="9"/>
  <c r="G14" i="9"/>
  <c r="G12" i="9"/>
  <c r="G10" i="9"/>
  <c r="G8" i="9"/>
  <c r="G6" i="9"/>
  <c r="G4" i="9"/>
  <c r="I25" i="9"/>
  <c r="I13" i="9"/>
  <c r="I11" i="9"/>
  <c r="I28" i="9"/>
  <c r="I26" i="9"/>
  <c r="I24" i="9"/>
  <c r="I22" i="9"/>
  <c r="I20" i="9"/>
  <c r="I18" i="9"/>
  <c r="I16" i="9"/>
  <c r="I14" i="9"/>
  <c r="I12" i="9"/>
  <c r="I10" i="9"/>
  <c r="I8" i="9"/>
  <c r="I6" i="9"/>
  <c r="I4" i="9"/>
  <c r="I27" i="9"/>
  <c r="G29" i="9"/>
  <c r="G27" i="9"/>
  <c r="G25" i="9"/>
  <c r="G23" i="9"/>
  <c r="G21" i="9"/>
  <c r="G19" i="9"/>
  <c r="G17" i="9"/>
  <c r="G15" i="9"/>
  <c r="G13" i="9"/>
  <c r="G11" i="9"/>
  <c r="G9" i="9"/>
  <c r="G7" i="9"/>
  <c r="G5" i="9"/>
  <c r="G3" i="9"/>
  <c r="I2" i="9"/>
  <c r="G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<sst xmlns="http://schemas.openxmlformats.org/spreadsheetml/2006/main" count="456" uniqueCount="190">
  <si>
    <t>Total Number of Hosts:</t>
  </si>
  <si>
    <t>Number of Usable Hosts:</t>
  </si>
  <si>
    <t>Binary Subnet Mask:</t>
  </si>
  <si>
    <t>CIDR Notation:</t>
  </si>
  <si>
    <t>Subnet Mask in dotted decimal:</t>
  </si>
  <si>
    <t>IP address:</t>
  </si>
  <si>
    <t>IP address binary:</t>
  </si>
  <si>
    <t>Broadcast address:</t>
  </si>
  <si>
    <t>Subnetwork address:</t>
  </si>
  <si>
    <t>Range of valid IP ADRESSES</t>
  </si>
  <si>
    <t>Number of subnets:</t>
  </si>
  <si>
    <t>Short IP address with snm:</t>
  </si>
  <si>
    <t>\29</t>
  </si>
  <si>
    <t xml:space="preserve">DEC </t>
  </si>
  <si>
    <t>BIN</t>
  </si>
  <si>
    <t>\28</t>
  </si>
  <si>
    <t>\25</t>
  </si>
  <si>
    <t>\26</t>
  </si>
  <si>
    <t>\27</t>
  </si>
  <si>
    <t>\30</t>
  </si>
  <si>
    <t>\31</t>
  </si>
  <si>
    <t>\32</t>
  </si>
  <si>
    <t>CIDR</t>
  </si>
  <si>
    <t xml:space="preserve">Group </t>
  </si>
  <si>
    <t>SNM 4.</t>
  </si>
  <si>
    <t>SNM 3.</t>
  </si>
  <si>
    <t>\17</t>
  </si>
  <si>
    <t>\18</t>
  </si>
  <si>
    <t>\19</t>
  </si>
  <si>
    <t>\20</t>
  </si>
  <si>
    <t>\21</t>
  </si>
  <si>
    <t>\22</t>
  </si>
  <si>
    <t>\23</t>
  </si>
  <si>
    <t>\24</t>
  </si>
  <si>
    <t>\16</t>
  </si>
  <si>
    <t>\15</t>
  </si>
  <si>
    <t>\14</t>
  </si>
  <si>
    <t>\13</t>
  </si>
  <si>
    <t>\12</t>
  </si>
  <si>
    <t>\11</t>
  </si>
  <si>
    <t>\10</t>
  </si>
  <si>
    <t>\9</t>
  </si>
  <si>
    <t>\8</t>
  </si>
  <si>
    <t>\7</t>
  </si>
  <si>
    <t>\6</t>
  </si>
  <si>
    <t>\5</t>
  </si>
  <si>
    <t>\4</t>
  </si>
  <si>
    <t>\3</t>
  </si>
  <si>
    <t>\2</t>
  </si>
  <si>
    <t>\1</t>
  </si>
  <si>
    <t>SNM 2.</t>
  </si>
  <si>
    <t>SNM1.</t>
  </si>
  <si>
    <t>Subnet mask:</t>
  </si>
  <si>
    <t>Network ID:</t>
  </si>
  <si>
    <t>IP address bitenkénti AND a Subnet maskkal</t>
  </si>
  <si>
    <t>IP address bitenkénti OR a Wildcarddal</t>
  </si>
  <si>
    <t>Broadcast:</t>
  </si>
  <si>
    <t>All of possible subnetworks in case of \ 28</t>
  </si>
  <si>
    <t>142.159.70.178\26</t>
  </si>
  <si>
    <t>úzidzs o csi-csi</t>
  </si>
  <si>
    <t>subnet számítás (Bordé)</t>
  </si>
  <si>
    <t>subnet limit</t>
  </si>
  <si>
    <t>142.159.70.178</t>
  </si>
  <si>
    <r>
      <t>10001110</t>
    </r>
    <r>
      <rPr>
        <sz val="12"/>
        <color rgb="FFFF0000"/>
        <rFont val="Arial"/>
        <family val="2"/>
        <charset val="238"/>
      </rPr>
      <t>10011111</t>
    </r>
    <r>
      <rPr>
        <b/>
        <sz val="12"/>
        <color rgb="FFFF0000"/>
        <rFont val="Arial"/>
        <family val="2"/>
        <charset val="238"/>
      </rPr>
      <t>01000110</t>
    </r>
    <r>
      <rPr>
        <sz val="12"/>
        <color rgb="FFFF0000"/>
        <rFont val="Arial"/>
        <family val="2"/>
        <charset val="238"/>
      </rPr>
      <t>10</t>
    </r>
    <r>
      <rPr>
        <sz val="12"/>
        <color rgb="FF000000"/>
        <rFont val="Arial"/>
        <family val="2"/>
        <charset val="238"/>
      </rPr>
      <t>110010</t>
    </r>
  </si>
  <si>
    <t>255.255.255.192</t>
  </si>
  <si>
    <r>
      <t>11111111</t>
    </r>
    <r>
      <rPr>
        <sz val="12"/>
        <color rgb="FFFF0000"/>
        <rFont val="Arial"/>
        <family val="2"/>
        <charset val="238"/>
      </rPr>
      <t>11111111</t>
    </r>
    <r>
      <rPr>
        <b/>
        <sz val="12"/>
        <color rgb="FFFF0000"/>
        <rFont val="Arial"/>
        <family val="2"/>
        <charset val="238"/>
      </rPr>
      <t>11111111</t>
    </r>
    <r>
      <rPr>
        <sz val="12"/>
        <color rgb="FFFF0000"/>
        <rFont val="Arial"/>
        <family val="2"/>
        <charset val="238"/>
      </rPr>
      <t>11</t>
    </r>
    <r>
      <rPr>
        <sz val="12"/>
        <color rgb="FF000000"/>
        <rFont val="Arial"/>
        <family val="2"/>
        <charset val="238"/>
      </rPr>
      <t>000000</t>
    </r>
  </si>
  <si>
    <t>142.159.70.128</t>
  </si>
  <si>
    <t>142.159.70.129</t>
  </si>
  <si>
    <t>142.159.70.190</t>
  </si>
  <si>
    <t>142.159.70.191</t>
  </si>
  <si>
    <t>192.168.10.12</t>
  </si>
  <si>
    <t>20.2.2.24</t>
  </si>
  <si>
    <t>név</t>
  </si>
  <si>
    <t>IP cím1</t>
  </si>
  <si>
    <t>snm1</t>
  </si>
  <si>
    <t>IP cím2</t>
  </si>
  <si>
    <t>snm2</t>
  </si>
  <si>
    <t>Antal Dóra Erzsébet</t>
  </si>
  <si>
    <t>20.3.1.119</t>
  </si>
  <si>
    <t>Baksa Mátyás József</t>
  </si>
  <si>
    <t>20.1.10.222</t>
  </si>
  <si>
    <t>Bodnár Bence</t>
  </si>
  <si>
    <t>192.1.10.214</t>
  </si>
  <si>
    <t>Fekete Máté Károly</t>
  </si>
  <si>
    <t>Jámbrik Gábor Dominik</t>
  </si>
  <si>
    <t>20.2.1.39</t>
  </si>
  <si>
    <t>Kis Kevin</t>
  </si>
  <si>
    <t>20.2.12.129</t>
  </si>
  <si>
    <t>Kis Milán</t>
  </si>
  <si>
    <t>20.0.11.89</t>
  </si>
  <si>
    <t>Kótai Krisztián Gergő</t>
  </si>
  <si>
    <t>20.3.2.102</t>
  </si>
  <si>
    <t>Kővári Patrik Dominik</t>
  </si>
  <si>
    <t>20.3.1.239</t>
  </si>
  <si>
    <t>László Márk</t>
  </si>
  <si>
    <t>20.2.5.234</t>
  </si>
  <si>
    <t>Makó Ádám Péter</t>
  </si>
  <si>
    <t>20.2.5.213</t>
  </si>
  <si>
    <t>Makó Dániel</t>
  </si>
  <si>
    <t>20.2.2.141</t>
  </si>
  <si>
    <t>Miklós Rajmund</t>
  </si>
  <si>
    <t>20.2.7.243</t>
  </si>
  <si>
    <t>Nagy Krisztián</t>
  </si>
  <si>
    <t>20.2.7.229</t>
  </si>
  <si>
    <t>Nagy Lídia</t>
  </si>
  <si>
    <t>20.2.8.228</t>
  </si>
  <si>
    <t>Nguyen Phong Huy</t>
  </si>
  <si>
    <t>192.168.10.142</t>
  </si>
  <si>
    <t>Ódor Zalán</t>
  </si>
  <si>
    <t>20.2.2.224</t>
  </si>
  <si>
    <t>Oszvald Titán</t>
  </si>
  <si>
    <t>20.1.10.228</t>
  </si>
  <si>
    <t>Örlős Kevin Bálint</t>
  </si>
  <si>
    <t>20.3.1.151</t>
  </si>
  <si>
    <t>Paksi Félix</t>
  </si>
  <si>
    <t>20.2.1.223</t>
  </si>
  <si>
    <t>Paulusz Zsombor</t>
  </si>
  <si>
    <t>20.2.12.142</t>
  </si>
  <si>
    <t>Rátkay Dániel Gábor</t>
  </si>
  <si>
    <t>20.0.11.123</t>
  </si>
  <si>
    <t>Rehó Márk István</t>
  </si>
  <si>
    <t>20.3.2.108</t>
  </si>
  <si>
    <t>Sindely Richárd</t>
  </si>
  <si>
    <t>Szabó Martin Gábor</t>
  </si>
  <si>
    <t>20.2.5.242</t>
  </si>
  <si>
    <t>Szukiaszjan Sargis Hracsjai</t>
  </si>
  <si>
    <t>20.2.5.139</t>
  </si>
  <si>
    <t>Takács-Nagy Benedek</t>
  </si>
  <si>
    <t>20.2.2.211</t>
  </si>
  <si>
    <t>Turai Sándor Attila</t>
  </si>
  <si>
    <t>20.2.7.233</t>
  </si>
  <si>
    <t>20.3.1.250</t>
  </si>
  <si>
    <t>Árkosi Krisztián Brúnó</t>
  </si>
  <si>
    <t>Bálind István Dominik</t>
  </si>
  <si>
    <t>Ecsedi Milán</t>
  </si>
  <si>
    <t>Encs Dániel Vajk</t>
  </si>
  <si>
    <t>Farkas Kristóf</t>
  </si>
  <si>
    <t>Györe Benedek Tamás</t>
  </si>
  <si>
    <t>Hammer Szimonetta Bianka</t>
  </si>
  <si>
    <t>Horváth Patrik</t>
  </si>
  <si>
    <t>Kiss Ádám</t>
  </si>
  <si>
    <t>Kodela Róbert</t>
  </si>
  <si>
    <t>Mezei Róbert</t>
  </si>
  <si>
    <t>Móró Norbert</t>
  </si>
  <si>
    <t>Mraz József Flavian</t>
  </si>
  <si>
    <t>Nagy Dávid</t>
  </si>
  <si>
    <t>Nagy Melinda</t>
  </si>
  <si>
    <t>Paczári Róbert</t>
  </si>
  <si>
    <t>Petki Erik</t>
  </si>
  <si>
    <t>Preckler Kálmán János</t>
  </si>
  <si>
    <t>Psader Roland</t>
  </si>
  <si>
    <t>Rab Károly Sándor</t>
  </si>
  <si>
    <t>Rajs Norbert</t>
  </si>
  <si>
    <t>Sallai Tamás</t>
  </si>
  <si>
    <t>Szabó Márk</t>
  </si>
  <si>
    <t>Szentesi Réka</t>
  </si>
  <si>
    <t>Tóth Tamás</t>
  </si>
  <si>
    <t>Network Address in DD:</t>
  </si>
  <si>
    <t>First usable Ip address in DD:</t>
  </si>
  <si>
    <t>Broadcast address in DD:</t>
  </si>
  <si>
    <t xml:space="preserve">Last usable Ip address in DD: </t>
  </si>
  <si>
    <t>Prokesch László</t>
  </si>
  <si>
    <t>10001110100111110100011010110010</t>
  </si>
  <si>
    <t>11111111111111111111111111000000</t>
  </si>
  <si>
    <t>229.93.192.39\26</t>
  </si>
  <si>
    <t>229.93.192.39</t>
  </si>
  <si>
    <t>11100101010111011100000000100111</t>
  </si>
  <si>
    <t>11111111.11111111.11111111.11 000000</t>
  </si>
  <si>
    <t>229.93.192.0</t>
  </si>
  <si>
    <t>229.93.192.63</t>
  </si>
  <si>
    <t>229.93.192.1</t>
  </si>
  <si>
    <t>229.93.192.62</t>
  </si>
  <si>
    <t>144.72.60.1\24</t>
  </si>
  <si>
    <t>All of possible subnetworks in case of \ 27</t>
  </si>
  <si>
    <t>144.72.60.1</t>
  </si>
  <si>
    <t>255.255.255.0</t>
  </si>
  <si>
    <t>111111111111111111111111 00000000</t>
  </si>
  <si>
    <t>100100000100100000111100 00000001</t>
  </si>
  <si>
    <t>144.72.60.0</t>
  </si>
  <si>
    <t>144.72.60.255</t>
  </si>
  <si>
    <t xml:space="preserve">144.72.60.254 </t>
  </si>
  <si>
    <t>118.25.74.86\27</t>
  </si>
  <si>
    <t>All of possible subnetworks in case of \ 29</t>
  </si>
  <si>
    <t>118.25.74.86</t>
  </si>
  <si>
    <t>255.255.255.224</t>
  </si>
  <si>
    <t>01110110000110010100101001010110</t>
  </si>
  <si>
    <t>11111111111111111111111111100000</t>
  </si>
  <si>
    <t>118.25.74.64</t>
  </si>
  <si>
    <t xml:space="preserve">118.25.74.95 </t>
  </si>
  <si>
    <t>118.25.74.65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</si>
</sst>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charset val="238"/>
      <scheme val="minor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rgb="FFFF000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theme="1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2"/>
      <color rgb="FFFF0000"/>
      <name val="Arial"/>
      <family val="2"/>
      <charset val="238"/>
    </font>
    <font>
      <sz val="11"/>
      <name val="Calibri"/>
      <family val="2"/>
      <charset val="238"/>
      <scheme val="minor"/>
    </font>
    <font>
      <sz val="10"/>
      <color rgb="FFFF0000"/>
      <name val="Arial Unicode MS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8FD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thick">
        <color rgb="FF6666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Protection="1"/>
    <xf numFmtId="0" fontId="1" fillId="2" borderId="7" xfId="0" applyFont="1" applyFill="1" applyBorder="1" applyAlignment="1" applyProtection="1">
      <alignment vertical="center" wrapText="1"/>
    </xf>
    <xf numFmtId="49" fontId="3" fillId="4" borderId="2" xfId="0" applyNumberFormat="1" applyFont="1" applyFill="1" applyBorder="1"/>
    <xf numFmtId="0" fontId="2" fillId="0" borderId="0" xfId="0" applyFont="1" applyAlignment="1" applyProtection="1">
      <alignment horizontal="left" vertical="center"/>
    </xf>
    <xf numFmtId="49" fontId="3" fillId="3" borderId="0" xfId="0" applyNumberFormat="1" applyFont="1" applyFill="1" applyProtection="1"/>
    <xf numFmtId="0" fontId="2" fillId="4" borderId="1" xfId="0" applyFont="1" applyFill="1" applyBorder="1" applyAlignment="1" applyProtection="1">
      <alignment vertical="center" wrapText="1"/>
    </xf>
    <xf numFmtId="49" fontId="2" fillId="4" borderId="1" xfId="0" applyNumberFormat="1" applyFont="1" applyFill="1" applyBorder="1" applyAlignment="1" applyProtection="1">
      <alignment vertical="center" wrapText="1"/>
    </xf>
    <xf numFmtId="0" fontId="1" fillId="6" borderId="7" xfId="0" applyFont="1" applyFill="1" applyBorder="1" applyAlignment="1" applyProtection="1">
      <alignment vertical="center" wrapText="1"/>
    </xf>
    <xf numFmtId="49" fontId="5" fillId="5" borderId="0" xfId="0" applyNumberFormat="1" applyFont="1" applyFill="1" applyProtection="1"/>
    <xf numFmtId="49" fontId="5" fillId="5" borderId="3" xfId="0" applyNumberFormat="1" applyFont="1" applyFill="1" applyBorder="1" applyAlignment="1" applyProtection="1">
      <alignment vertical="center" wrapText="1"/>
    </xf>
    <xf numFmtId="49" fontId="4" fillId="5" borderId="0" xfId="0" applyNumberFormat="1" applyFont="1" applyFill="1" applyProtection="1"/>
    <xf numFmtId="0" fontId="3" fillId="3" borderId="0" xfId="0" applyNumberFormat="1" applyFont="1" applyFill="1" applyProtection="1"/>
    <xf numFmtId="1" fontId="3" fillId="5" borderId="2" xfId="0" applyNumberFormat="1" applyFont="1" applyFill="1" applyBorder="1" applyProtection="1">
      <protection locked="0"/>
    </xf>
    <xf numFmtId="49" fontId="3" fillId="5" borderId="0" xfId="0" applyNumberFormat="1" applyFont="1" applyFill="1" applyProtection="1">
      <protection locked="0"/>
    </xf>
    <xf numFmtId="49" fontId="3" fillId="5" borderId="0" xfId="0" applyNumberFormat="1" applyFont="1" applyFill="1"/>
    <xf numFmtId="0" fontId="3" fillId="0" borderId="0" xfId="0" applyFont="1" applyProtection="1"/>
    <xf numFmtId="0" fontId="3" fillId="6" borderId="6" xfId="0" applyFont="1" applyFill="1" applyBorder="1" applyProtection="1"/>
    <xf numFmtId="0" fontId="3" fillId="6" borderId="7" xfId="0" applyFont="1" applyFill="1" applyBorder="1" applyProtection="1"/>
    <xf numFmtId="49" fontId="6" fillId="5" borderId="0" xfId="0" applyNumberFormat="1" applyFont="1" applyFill="1" applyProtection="1">
      <protection locked="0"/>
    </xf>
    <xf numFmtId="1" fontId="3" fillId="5" borderId="0" xfId="0" applyNumberFormat="1" applyFont="1" applyFill="1" applyProtection="1">
      <protection locked="0"/>
    </xf>
    <xf numFmtId="0" fontId="0" fillId="6" borderId="0" xfId="0" applyFill="1" applyProtection="1"/>
    <xf numFmtId="0" fontId="0" fillId="7" borderId="0" xfId="0" applyFill="1" applyProtection="1"/>
    <xf numFmtId="0" fontId="0" fillId="8" borderId="0" xfId="0" applyFill="1" applyProtection="1"/>
    <xf numFmtId="0" fontId="0" fillId="10" borderId="0" xfId="0" applyFill="1" applyProtection="1"/>
    <xf numFmtId="0" fontId="0" fillId="6" borderId="8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11" borderId="0" xfId="0" applyFill="1" applyProtection="1"/>
    <xf numFmtId="0" fontId="0" fillId="9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12" borderId="5" xfId="0" applyFill="1" applyBorder="1" applyProtection="1"/>
    <xf numFmtId="0" fontId="0" fillId="12" borderId="0" xfId="0" applyFill="1" applyProtection="1"/>
    <xf numFmtId="0" fontId="0" fillId="12" borderId="5" xfId="0" applyFill="1" applyBorder="1" applyAlignment="1" applyProtection="1">
      <alignment horizontal="center"/>
    </xf>
    <xf numFmtId="14" fontId="0" fillId="12" borderId="4" xfId="0" applyNumberFormat="1" applyFill="1" applyBorder="1" applyAlignment="1" applyProtection="1">
      <alignment horizontal="left"/>
    </xf>
    <xf numFmtId="0" fontId="0" fillId="6" borderId="0" xfId="0" applyFill="1" applyProtection="1">
      <protection locked="0"/>
    </xf>
    <xf numFmtId="0" fontId="7" fillId="0" borderId="0" xfId="1" applyProtection="1"/>
    <xf numFmtId="0" fontId="7" fillId="6" borderId="7" xfId="1" applyFill="1" applyBorder="1" applyAlignment="1" applyProtection="1">
      <alignment vertical="center" wrapText="1"/>
    </xf>
    <xf numFmtId="22" fontId="0" fillId="0" borderId="0" xfId="0" applyNumberFormat="1" applyProtection="1"/>
    <xf numFmtId="22" fontId="0" fillId="12" borderId="0" xfId="0" applyNumberFormat="1" applyFill="1" applyAlignment="1" applyProtection="1">
      <alignment horizontal="center"/>
    </xf>
    <xf numFmtId="22" fontId="0" fillId="3" borderId="0" xfId="0" applyNumberFormat="1" applyFill="1" applyProtection="1"/>
    <xf numFmtId="0" fontId="0" fillId="3" borderId="0" xfId="0" applyFill="1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14" borderId="0" xfId="0" applyFill="1" applyBorder="1" applyAlignment="1">
      <alignment horizontal="right"/>
    </xf>
    <xf numFmtId="0" fontId="0" fillId="13" borderId="0" xfId="0" applyFill="1" applyAlignment="1">
      <alignment horizontal="right"/>
    </xf>
    <xf numFmtId="0" fontId="0" fillId="15" borderId="0" xfId="0" applyFill="1" applyBorder="1" applyAlignment="1">
      <alignment horizontal="right"/>
    </xf>
    <xf numFmtId="0" fontId="0" fillId="15" borderId="0" xfId="0" applyFill="1" applyBorder="1"/>
    <xf numFmtId="0" fontId="0" fillId="15" borderId="0" xfId="0" applyFill="1" applyAlignment="1">
      <alignment horizontal="right"/>
    </xf>
    <xf numFmtId="0" fontId="0" fillId="15" borderId="0" xfId="0" applyFill="1"/>
    <xf numFmtId="0" fontId="9" fillId="16" borderId="0" xfId="0" applyFont="1" applyFill="1" applyBorder="1" applyAlignment="1">
      <alignment horizontal="right"/>
    </xf>
    <xf numFmtId="0" fontId="9" fillId="16" borderId="0" xfId="0" applyFont="1" applyFill="1" applyBorder="1"/>
    <xf numFmtId="0" fontId="9" fillId="16" borderId="0" xfId="0" applyFont="1" applyFill="1" applyAlignment="1">
      <alignment horizontal="right"/>
    </xf>
    <xf numFmtId="0" fontId="9" fillId="16" borderId="0" xfId="0" applyFont="1" applyFill="1"/>
    <xf numFmtId="0" fontId="0" fillId="17" borderId="0" xfId="0" applyFill="1" applyAlignment="1">
      <alignment horizontal="right"/>
    </xf>
    <xf numFmtId="0" fontId="0" fillId="17" borderId="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10" fillId="0" borderId="0" xfId="0" applyFont="1" applyAlignment="1">
      <alignment vertical="center"/>
    </xf>
  </cellXfs>
  <cellStyles count="2">
    <cellStyle name="Hivatkozás" xfId="1" builtinId="8"/>
    <cellStyle name="Normál" xfId="0" builtinId="0"/>
  </cellStyles>
  <dxfs count="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619125</xdr:colOff>
      <xdr:row>12</xdr:row>
      <xdr:rowOff>171450</xdr:rowOff>
    </xdr:from>
    <xdr:to>
      <xdr:col>3</xdr:col>
      <xdr:colOff>1533525</xdr:colOff>
      <xdr:row>17</xdr:row>
      <xdr:rowOff>85725</xdr:rowOff>
    </xdr:to>
    <xdr:pic macro="[0]!újfeladat">
      <xdr:nvPicPr>
        <xdr:cNvPr id="2" name="Ábra 1" descr="Könyve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2571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581025</xdr:colOff>
      <xdr:row>0</xdr:row>
      <xdr:rowOff>180975</xdr:rowOff>
    </xdr:from>
    <xdr:to>
      <xdr:col>3</xdr:col>
      <xdr:colOff>1495425</xdr:colOff>
      <xdr:row>5</xdr:row>
      <xdr:rowOff>95250</xdr:rowOff>
    </xdr:to>
    <xdr:pic macro="[0]!Module1.solution">
      <xdr:nvPicPr>
        <xdr:cNvPr id="3" name="Ábra 2" descr="Új kerekesszé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00" y="1809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561975</xdr:colOff>
      <xdr:row>7</xdr:row>
      <xdr:rowOff>190500</xdr:rowOff>
    </xdr:from>
    <xdr:to>
      <xdr:col>3</xdr:col>
      <xdr:colOff>1476375</xdr:colOff>
      <xdr:row>12</xdr:row>
      <xdr:rowOff>104775</xdr:rowOff>
    </xdr:to>
    <xdr:pic macro="[0]!privi">
      <xdr:nvPicPr>
        <xdr:cNvPr id="4" name="Ábra 3" descr="Vak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695950" y="15906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707333</xdr:colOff>
      <xdr:row>19</xdr:row>
      <xdr:rowOff>93299</xdr:rowOff>
    </xdr:from>
    <xdr:to>
      <xdr:col>3</xdr:col>
      <xdr:colOff>1409700</xdr:colOff>
      <xdr:row>22</xdr:row>
      <xdr:rowOff>142874</xdr:rowOff>
    </xdr:to>
    <xdr:pic macro="[0]!Check">
      <xdr:nvPicPr>
        <xdr:cNvPr id="5" name="Ké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1308" y="3893774"/>
          <a:ext cx="702367" cy="649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619125</xdr:colOff>
      <xdr:row>12</xdr:row>
      <xdr:rowOff>171450</xdr:rowOff>
    </xdr:from>
    <xdr:to>
      <xdr:col>3</xdr:col>
      <xdr:colOff>1533525</xdr:colOff>
      <xdr:row>17</xdr:row>
      <xdr:rowOff>85725</xdr:rowOff>
    </xdr:to>
    <xdr:pic macro="[0]!újfeladat">
      <xdr:nvPicPr>
        <xdr:cNvPr id="2" name="Ábra 1" descr="Könyvek">
          <a:extLst>
            <a:ext uri="{FF2B5EF4-FFF2-40B4-BE49-F238E27FC236}">
              <a16:creationId xmlns:a16="http://schemas.microsoft.com/office/drawing/2014/main" id="{34F5FD7B-BBAC-4CA8-BFA7-A7A63E649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2571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581025</xdr:colOff>
      <xdr:row>0</xdr:row>
      <xdr:rowOff>180975</xdr:rowOff>
    </xdr:from>
    <xdr:to>
      <xdr:col>3</xdr:col>
      <xdr:colOff>1495425</xdr:colOff>
      <xdr:row>5</xdr:row>
      <xdr:rowOff>95250</xdr:rowOff>
    </xdr:to>
    <xdr:pic macro="[0]!Module1.solution">
      <xdr:nvPicPr>
        <xdr:cNvPr id="3" name="Ábra 2" descr="Új kerekesszék">
          <a:extLst>
            <a:ext uri="{FF2B5EF4-FFF2-40B4-BE49-F238E27FC236}">
              <a16:creationId xmlns:a16="http://schemas.microsoft.com/office/drawing/2014/main" id="{3D380782-9A63-4343-ACB2-BBF49254F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00" y="1809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561975</xdr:colOff>
      <xdr:row>7</xdr:row>
      <xdr:rowOff>190500</xdr:rowOff>
    </xdr:from>
    <xdr:to>
      <xdr:col>3</xdr:col>
      <xdr:colOff>1476375</xdr:colOff>
      <xdr:row>12</xdr:row>
      <xdr:rowOff>104775</xdr:rowOff>
    </xdr:to>
    <xdr:pic macro="[0]!privi">
      <xdr:nvPicPr>
        <xdr:cNvPr id="4" name="Ábra 3" descr="Vak">
          <a:extLst>
            <a:ext uri="{FF2B5EF4-FFF2-40B4-BE49-F238E27FC236}">
              <a16:creationId xmlns:a16="http://schemas.microsoft.com/office/drawing/2014/main" id="{8400FFFE-579C-4434-9477-9BCB11930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695950" y="15906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707333</xdr:colOff>
      <xdr:row>19</xdr:row>
      <xdr:rowOff>93299</xdr:rowOff>
    </xdr:from>
    <xdr:to>
      <xdr:col>3</xdr:col>
      <xdr:colOff>1409700</xdr:colOff>
      <xdr:row>22</xdr:row>
      <xdr:rowOff>142874</xdr:rowOff>
    </xdr:to>
    <xdr:pic macro="[0]!Check">
      <xdr:nvPicPr>
        <xdr:cNvPr id="5" name="Kép 4">
          <a:extLst>
            <a:ext uri="{FF2B5EF4-FFF2-40B4-BE49-F238E27FC236}">
              <a16:creationId xmlns:a16="http://schemas.microsoft.com/office/drawing/2014/main" id="{6EB344D5-7316-4E3A-891A-0FEB257A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1308" y="3893774"/>
          <a:ext cx="702367" cy="649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619125</xdr:colOff>
      <xdr:row>12</xdr:row>
      <xdr:rowOff>171450</xdr:rowOff>
    </xdr:from>
    <xdr:to>
      <xdr:col>3</xdr:col>
      <xdr:colOff>1533525</xdr:colOff>
      <xdr:row>17</xdr:row>
      <xdr:rowOff>85725</xdr:rowOff>
    </xdr:to>
    <xdr:pic macro="[0]!újfeladat">
      <xdr:nvPicPr>
        <xdr:cNvPr id="2" name="Ábra 1" descr="Könyvek">
          <a:extLst>
            <a:ext uri="{FF2B5EF4-FFF2-40B4-BE49-F238E27FC236}">
              <a16:creationId xmlns:a16="http://schemas.microsoft.com/office/drawing/2014/main" id="{F47BBD7E-BC40-4E8C-AA5B-8FFAE6D6E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2571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581025</xdr:colOff>
      <xdr:row>0</xdr:row>
      <xdr:rowOff>180975</xdr:rowOff>
    </xdr:from>
    <xdr:to>
      <xdr:col>3</xdr:col>
      <xdr:colOff>1495425</xdr:colOff>
      <xdr:row>5</xdr:row>
      <xdr:rowOff>95250</xdr:rowOff>
    </xdr:to>
    <xdr:pic macro="[0]!Module1.solution">
      <xdr:nvPicPr>
        <xdr:cNvPr id="3" name="Ábra 2" descr="Új kerekesszék">
          <a:extLst>
            <a:ext uri="{FF2B5EF4-FFF2-40B4-BE49-F238E27FC236}">
              <a16:creationId xmlns:a16="http://schemas.microsoft.com/office/drawing/2014/main" id="{82E950C1-DD7C-4402-8449-C8E44381A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00" y="1809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561975</xdr:colOff>
      <xdr:row>7</xdr:row>
      <xdr:rowOff>190500</xdr:rowOff>
    </xdr:from>
    <xdr:to>
      <xdr:col>3</xdr:col>
      <xdr:colOff>1476375</xdr:colOff>
      <xdr:row>12</xdr:row>
      <xdr:rowOff>104775</xdr:rowOff>
    </xdr:to>
    <xdr:pic macro="[0]!privi">
      <xdr:nvPicPr>
        <xdr:cNvPr id="4" name="Ábra 3" descr="Vak">
          <a:extLst>
            <a:ext uri="{FF2B5EF4-FFF2-40B4-BE49-F238E27FC236}">
              <a16:creationId xmlns:a16="http://schemas.microsoft.com/office/drawing/2014/main" id="{73160A22-7CCF-43A4-BD8D-43402704D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695950" y="15906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707333</xdr:colOff>
      <xdr:row>19</xdr:row>
      <xdr:rowOff>93299</xdr:rowOff>
    </xdr:from>
    <xdr:to>
      <xdr:col>3</xdr:col>
      <xdr:colOff>1409700</xdr:colOff>
      <xdr:row>22</xdr:row>
      <xdr:rowOff>142874</xdr:rowOff>
    </xdr:to>
    <xdr:pic macro="[0]!Check">
      <xdr:nvPicPr>
        <xdr:cNvPr id="5" name="Kép 4">
          <a:extLst>
            <a:ext uri="{FF2B5EF4-FFF2-40B4-BE49-F238E27FC236}">
              <a16:creationId xmlns:a16="http://schemas.microsoft.com/office/drawing/2014/main" id="{771F6335-6802-45B6-9F1C-A15252BD8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1308" y="3893774"/>
          <a:ext cx="702367" cy="649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619125</xdr:colOff>
      <xdr:row>12</xdr:row>
      <xdr:rowOff>171450</xdr:rowOff>
    </xdr:from>
    <xdr:to>
      <xdr:col>3</xdr:col>
      <xdr:colOff>1533525</xdr:colOff>
      <xdr:row>17</xdr:row>
      <xdr:rowOff>85725</xdr:rowOff>
    </xdr:to>
    <xdr:pic macro="[0]!újfeladat">
      <xdr:nvPicPr>
        <xdr:cNvPr id="2" name="Ábra 1" descr="Könyvek">
          <a:extLst>
            <a:ext uri="{FF2B5EF4-FFF2-40B4-BE49-F238E27FC236}">
              <a16:creationId xmlns:a16="http://schemas.microsoft.com/office/drawing/2014/main" id="{F9693279-0559-4AA4-868E-4372AC3FC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2571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581025</xdr:colOff>
      <xdr:row>0</xdr:row>
      <xdr:rowOff>180975</xdr:rowOff>
    </xdr:from>
    <xdr:to>
      <xdr:col>3</xdr:col>
      <xdr:colOff>1495425</xdr:colOff>
      <xdr:row>5</xdr:row>
      <xdr:rowOff>95250</xdr:rowOff>
    </xdr:to>
    <xdr:pic macro="[0]!Module1.solution">
      <xdr:nvPicPr>
        <xdr:cNvPr id="3" name="Ábra 2" descr="Új kerekesszék">
          <a:extLst>
            <a:ext uri="{FF2B5EF4-FFF2-40B4-BE49-F238E27FC236}">
              <a16:creationId xmlns:a16="http://schemas.microsoft.com/office/drawing/2014/main" id="{9BC4F15B-8044-4C22-8E6C-FEC86B641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00" y="1809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561975</xdr:colOff>
      <xdr:row>7</xdr:row>
      <xdr:rowOff>190500</xdr:rowOff>
    </xdr:from>
    <xdr:to>
      <xdr:col>3</xdr:col>
      <xdr:colOff>1476375</xdr:colOff>
      <xdr:row>12</xdr:row>
      <xdr:rowOff>104775</xdr:rowOff>
    </xdr:to>
    <xdr:pic macro="[0]!privi">
      <xdr:nvPicPr>
        <xdr:cNvPr id="4" name="Ábra 3" descr="Vak">
          <a:extLst>
            <a:ext uri="{FF2B5EF4-FFF2-40B4-BE49-F238E27FC236}">
              <a16:creationId xmlns:a16="http://schemas.microsoft.com/office/drawing/2014/main" id="{9DCC0096-2D3B-4096-8A4E-713EE8129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695950" y="15906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707333</xdr:colOff>
      <xdr:row>19</xdr:row>
      <xdr:rowOff>93299</xdr:rowOff>
    </xdr:from>
    <xdr:to>
      <xdr:col>3</xdr:col>
      <xdr:colOff>1409700</xdr:colOff>
      <xdr:row>22</xdr:row>
      <xdr:rowOff>142874</xdr:rowOff>
    </xdr:to>
    <xdr:pic macro="[0]!Check">
      <xdr:nvPicPr>
        <xdr:cNvPr id="5" name="Kép 4">
          <a:extLst>
            <a:ext uri="{FF2B5EF4-FFF2-40B4-BE49-F238E27FC236}">
              <a16:creationId xmlns:a16="http://schemas.microsoft.com/office/drawing/2014/main" id="{B1128884-407E-4E5B-91F0-C213A8E83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1308" y="3893774"/>
          <a:ext cx="702367" cy="649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kLvUoqY1TNU&amp;t=178s" TargetMode="External"/><Relationship Id="rId1" Type="http://schemas.openxmlformats.org/officeDocument/2006/relationships/hyperlink" Target="https://www.youtube.com/watch?v=SM0kdVfhxZ0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youtube.com/watch?v=kLvUoqY1TNU&amp;t=178s" TargetMode="External"/><Relationship Id="rId1" Type="http://schemas.openxmlformats.org/officeDocument/2006/relationships/hyperlink" Target="https://www.youtube.com/watch?v=SM0kdVfhxZ0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youtube.com/watch?v=kLvUoqY1TNU&amp;t=178s" TargetMode="External"/><Relationship Id="rId1" Type="http://schemas.openxmlformats.org/officeDocument/2006/relationships/hyperlink" Target="https://www.youtube.com/watch?v=SM0kdVfhxZ0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youtube.com/watch?v=kLvUoqY1TNU&amp;t=178s" TargetMode="External"/><Relationship Id="rId1" Type="http://schemas.openxmlformats.org/officeDocument/2006/relationships/hyperlink" Target="https://www.youtube.com/watch?v=SM0kdVfhxZ0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7"/>
  <dimension ref="A1:M5019"/>
  <sheetViews>
    <sheetView tabSelected="1" workbookViewId="0">
      <selection activeCell="B7" sqref="B7"/>
    </sheetView>
  </sheetViews>
  <sheetFormatPr defaultRowHeight="15"/>
  <cols>
    <col min="1" max="1" width="34.85546875" style="1" customWidth="1"/>
    <col min="2" max="2" width="42.140625" style="1" customWidth="1"/>
    <col min="3" max="3" width="42.7109375" style="1" hidden="1" customWidth="1"/>
    <col min="4" max="4" width="31.5703125" style="1" customWidth="1"/>
    <col min="5" max="5" width="7.5703125" style="1" customWidth="1"/>
    <col min="6" max="6" width="9.140625" style="1" customWidth="1"/>
    <col min="7" max="16384" width="9.140625" style="1"/>
  </cols>
  <sheetData>
    <row r="1" spans="1:13" ht="15.75" thickBot="1">
      <c r="A1" s="33">
        <f ca="1">TODAY()</f>
        <v>44122</v>
      </c>
      <c r="B1" s="32" t="s">
        <v>161</v>
      </c>
      <c r="C1" s="30" t="str">
        <f ca="1">INFO("VERZIÓ")</f>
        <v>16.0</v>
      </c>
      <c r="D1" s="38"/>
      <c r="E1" s="31"/>
      <c r="F1" s="31"/>
      <c r="G1" s="31"/>
      <c r="H1" s="31"/>
      <c r="I1" s="31"/>
      <c r="J1" s="31"/>
      <c r="K1" s="31"/>
    </row>
    <row r="2" spans="1:13" ht="15.95" customHeight="1" thickBot="1">
      <c r="A2" s="17" t="s">
        <v>5</v>
      </c>
      <c r="B2" s="14" t="s">
        <v>62</v>
      </c>
      <c r="C2" s="9" t="s">
        <v>62</v>
      </c>
      <c r="D2" s="37">
        <v>44115.633715277778</v>
      </c>
      <c r="E2" s="23" t="s">
        <v>13</v>
      </c>
      <c r="F2" s="23" t="s">
        <v>14</v>
      </c>
    </row>
    <row r="3" spans="1:13" ht="15.95" customHeight="1" thickBot="1">
      <c r="A3" s="18" t="s">
        <v>6</v>
      </c>
      <c r="B3" s="19" t="s">
        <v>162</v>
      </c>
      <c r="C3" s="11" t="s">
        <v>63</v>
      </c>
      <c r="D3" s="37">
        <v>44115.63422453704</v>
      </c>
      <c r="E3" s="25">
        <v>1</v>
      </c>
      <c r="F3" s="22" t="str">
        <f>DEC2BIN(E3,8)</f>
        <v>00000001</v>
      </c>
    </row>
    <row r="4" spans="1:13" ht="15.95" customHeight="1" thickBot="1">
      <c r="A4" s="8" t="s">
        <v>3</v>
      </c>
      <c r="B4" s="14" t="s">
        <v>17</v>
      </c>
      <c r="C4" s="9" t="s">
        <v>17</v>
      </c>
      <c r="D4" s="37">
        <v>44115.634375000001</v>
      </c>
      <c r="E4" s="21">
        <f>BIN2DEC(F4)</f>
        <v>170</v>
      </c>
      <c r="F4" s="26">
        <v>10101010</v>
      </c>
    </row>
    <row r="5" spans="1:13" ht="15.95" customHeight="1">
      <c r="A5" s="8" t="s">
        <v>4</v>
      </c>
      <c r="B5" s="14" t="s">
        <v>64</v>
      </c>
      <c r="C5" s="9" t="s">
        <v>64</v>
      </c>
      <c r="D5" s="37">
        <v>44115.634733796294</v>
      </c>
    </row>
    <row r="6" spans="1:13" ht="15.95" customHeight="1">
      <c r="A6" s="8" t="s">
        <v>2</v>
      </c>
      <c r="B6" s="14" t="s">
        <v>163</v>
      </c>
      <c r="C6" s="11" t="s">
        <v>65</v>
      </c>
      <c r="D6" s="37">
        <v>44115.634710648148</v>
      </c>
      <c r="E6" s="1" t="s">
        <v>61</v>
      </c>
      <c r="G6" s="1">
        <v>23</v>
      </c>
    </row>
    <row r="7" spans="1:13" ht="15.95" customHeight="1">
      <c r="A7" s="8" t="s">
        <v>157</v>
      </c>
      <c r="B7" s="14" t="s">
        <v>66</v>
      </c>
      <c r="C7" s="9" t="s">
        <v>66</v>
      </c>
      <c r="D7" s="39">
        <v>44115.636030092595</v>
      </c>
      <c r="E7" s="21" t="s">
        <v>5</v>
      </c>
      <c r="F7" s="21"/>
      <c r="G7" s="27" t="str">
        <f>MID(B3,1,8)&amp;" "&amp;MID(B3,9,8)&amp;" "&amp;MID(B3,17,8)&amp;" "&amp;MID(B3,25,8)&amp;" "</f>
        <v xml:space="preserve">10001110 10011111 01000110 10110010 </v>
      </c>
      <c r="H7" s="27"/>
      <c r="I7" s="27"/>
      <c r="J7" s="27"/>
    </row>
    <row r="8" spans="1:13" ht="15.95" customHeight="1">
      <c r="A8" s="8" t="s">
        <v>158</v>
      </c>
      <c r="B8" s="14" t="s">
        <v>67</v>
      </c>
      <c r="C8" s="9" t="s">
        <v>67</v>
      </c>
      <c r="D8" s="37">
        <v>44115.635694444441</v>
      </c>
      <c r="E8" s="21" t="s">
        <v>52</v>
      </c>
      <c r="F8" s="21"/>
      <c r="G8" s="27" t="str">
        <f>MID(B6,1,8)&amp;" "&amp;MID(B6,9,8)&amp;" "&amp;MID(B6,17,8)&amp;" "&amp;MID(B6,25,8)&amp;" "</f>
        <v xml:space="preserve">11111111 11111111 11111111 11000000 </v>
      </c>
      <c r="H8" s="27"/>
      <c r="I8" s="27"/>
      <c r="J8" s="27"/>
    </row>
    <row r="9" spans="1:13" ht="15.95" customHeight="1">
      <c r="A9" s="8" t="s">
        <v>160</v>
      </c>
      <c r="B9" s="14" t="s">
        <v>68</v>
      </c>
      <c r="C9" s="9" t="s">
        <v>68</v>
      </c>
      <c r="D9" s="37">
        <v>44115.635393518518</v>
      </c>
      <c r="E9" s="27" t="s">
        <v>53</v>
      </c>
      <c r="F9" s="27"/>
      <c r="G9" s="34" t="s">
        <v>54</v>
      </c>
      <c r="H9" s="21"/>
      <c r="I9" s="21"/>
      <c r="J9" s="21"/>
    </row>
    <row r="10" spans="1:13" ht="15.95" customHeight="1">
      <c r="A10" s="8" t="s">
        <v>159</v>
      </c>
      <c r="B10" s="14" t="s">
        <v>69</v>
      </c>
      <c r="C10" s="9" t="s">
        <v>69</v>
      </c>
      <c r="D10" s="37">
        <v>44115.635104166664</v>
      </c>
      <c r="E10" s="27" t="s">
        <v>56</v>
      </c>
      <c r="F10" s="27"/>
      <c r="G10" s="21" t="s">
        <v>55</v>
      </c>
      <c r="H10" s="21"/>
      <c r="I10" s="21"/>
      <c r="J10" s="21"/>
    </row>
    <row r="11" spans="1:13" ht="15.95" customHeight="1">
      <c r="A11" s="8" t="s">
        <v>0</v>
      </c>
      <c r="B11" s="20">
        <v>64</v>
      </c>
      <c r="C11" s="9">
        <v>64</v>
      </c>
      <c r="D11" s="37">
        <v>44115.635659722226</v>
      </c>
    </row>
    <row r="12" spans="1:13" ht="15.95" customHeight="1">
      <c r="A12" s="8" t="s">
        <v>1</v>
      </c>
      <c r="B12" s="20">
        <v>62</v>
      </c>
      <c r="C12" s="9">
        <v>62</v>
      </c>
      <c r="D12" s="37">
        <v>44115.635925925926</v>
      </c>
    </row>
    <row r="13" spans="1:13" ht="15.95" customHeight="1">
      <c r="A13" s="36" t="s">
        <v>60</v>
      </c>
      <c r="B13" s="13"/>
      <c r="C13" s="10">
        <v>67108864</v>
      </c>
      <c r="D13" s="37"/>
    </row>
    <row r="14" spans="1:13" ht="15.95" customHeight="1">
      <c r="A14" s="2" t="s">
        <v>11</v>
      </c>
      <c r="B14" s="3" t="s">
        <v>58</v>
      </c>
      <c r="C14" s="5"/>
      <c r="D14" s="37">
        <v>44099.475277777776</v>
      </c>
      <c r="E14" s="35" t="s">
        <v>59</v>
      </c>
    </row>
    <row r="15" spans="1:13" ht="15.95" customHeight="1">
      <c r="B15" s="5"/>
      <c r="C15" s="12"/>
      <c r="D15" s="37"/>
      <c r="E15" s="24" t="s">
        <v>23</v>
      </c>
      <c r="F15" s="28">
        <v>128</v>
      </c>
      <c r="G15" s="28">
        <v>64</v>
      </c>
      <c r="H15" s="28">
        <v>32</v>
      </c>
      <c r="I15" s="28">
        <v>16</v>
      </c>
      <c r="J15" s="28">
        <v>8</v>
      </c>
      <c r="K15" s="28">
        <v>4</v>
      </c>
      <c r="L15" s="28">
        <v>2</v>
      </c>
      <c r="M15" s="28">
        <v>1</v>
      </c>
    </row>
    <row r="16" spans="1:13" ht="15.95" customHeight="1">
      <c r="A16" s="4" t="s">
        <v>57</v>
      </c>
      <c r="B16" s="5"/>
      <c r="C16" s="5"/>
      <c r="E16" s="24" t="s">
        <v>24</v>
      </c>
      <c r="F16" s="28">
        <f>256-F15</f>
        <v>128</v>
      </c>
      <c r="G16" s="28">
        <f t="shared" ref="G16:M16" si="0">256-G15</f>
        <v>192</v>
      </c>
      <c r="H16" s="28">
        <f t="shared" si="0"/>
        <v>224</v>
      </c>
      <c r="I16" s="28">
        <f t="shared" si="0"/>
        <v>240</v>
      </c>
      <c r="J16" s="28">
        <f t="shared" si="0"/>
        <v>248</v>
      </c>
      <c r="K16" s="28">
        <f t="shared" si="0"/>
        <v>252</v>
      </c>
      <c r="L16" s="28">
        <f t="shared" si="0"/>
        <v>254</v>
      </c>
      <c r="M16" s="28">
        <f t="shared" si="0"/>
        <v>255</v>
      </c>
    </row>
    <row r="17" spans="1:13" ht="15.95" customHeight="1" thickBot="1">
      <c r="A17" s="16" t="s">
        <v>10</v>
      </c>
      <c r="B17" s="5"/>
      <c r="C17" s="5"/>
      <c r="E17" s="24" t="s">
        <v>22</v>
      </c>
      <c r="F17" s="28" t="s">
        <v>16</v>
      </c>
      <c r="G17" s="28" t="s">
        <v>17</v>
      </c>
      <c r="H17" s="28" t="s">
        <v>18</v>
      </c>
      <c r="I17" s="28" t="s">
        <v>15</v>
      </c>
      <c r="J17" s="28" t="s">
        <v>12</v>
      </c>
      <c r="K17" s="28" t="s">
        <v>19</v>
      </c>
      <c r="L17" s="28" t="s">
        <v>20</v>
      </c>
      <c r="M17" s="28" t="s">
        <v>21</v>
      </c>
    </row>
    <row r="18" spans="1:13" ht="15.95" customHeight="1" thickBot="1">
      <c r="A18" s="6" t="s">
        <v>8</v>
      </c>
      <c r="B18" s="7" t="s">
        <v>9</v>
      </c>
      <c r="C18" s="7" t="s">
        <v>7</v>
      </c>
      <c r="F18" s="29"/>
      <c r="G18" s="29"/>
      <c r="H18" s="29"/>
      <c r="I18" s="29"/>
      <c r="J18" s="29"/>
      <c r="K18" s="29"/>
      <c r="L18" s="29"/>
      <c r="M18" s="29"/>
    </row>
    <row r="19" spans="1:13" ht="15.95" customHeight="1" thickTop="1">
      <c r="A19" s="15"/>
      <c r="B19" s="15"/>
      <c r="C19" s="15"/>
      <c r="E19" s="24" t="s">
        <v>23</v>
      </c>
      <c r="F19" s="28">
        <f t="shared" ref="F19:K19" si="1">2*G19</f>
        <v>32768</v>
      </c>
      <c r="G19" s="28">
        <f t="shared" si="1"/>
        <v>16384</v>
      </c>
      <c r="H19" s="28">
        <f t="shared" si="1"/>
        <v>8192</v>
      </c>
      <c r="I19" s="28">
        <f t="shared" si="1"/>
        <v>4096</v>
      </c>
      <c r="J19" s="28">
        <f t="shared" si="1"/>
        <v>2048</v>
      </c>
      <c r="K19" s="28">
        <f t="shared" si="1"/>
        <v>1024</v>
      </c>
      <c r="L19" s="28">
        <f>2*M19</f>
        <v>512</v>
      </c>
      <c r="M19" s="28">
        <f>2*F15</f>
        <v>256</v>
      </c>
    </row>
    <row r="20" spans="1:13" ht="15.95" customHeight="1">
      <c r="A20" s="15"/>
      <c r="B20" s="15"/>
      <c r="C20" s="15"/>
      <c r="E20" s="24" t="s">
        <v>25</v>
      </c>
      <c r="F20" s="28">
        <v>128</v>
      </c>
      <c r="G20" s="28">
        <v>192</v>
      </c>
      <c r="H20" s="28">
        <v>224</v>
      </c>
      <c r="I20" s="28">
        <v>240</v>
      </c>
      <c r="J20" s="28">
        <v>248</v>
      </c>
      <c r="K20" s="28">
        <v>252</v>
      </c>
      <c r="L20" s="28">
        <v>254</v>
      </c>
      <c r="M20" s="28">
        <v>255</v>
      </c>
    </row>
    <row r="21" spans="1:13" ht="15.95" customHeight="1">
      <c r="A21" s="15"/>
      <c r="B21" s="15"/>
      <c r="C21" s="15"/>
      <c r="E21" s="24" t="s">
        <v>22</v>
      </c>
      <c r="F21" s="28" t="s">
        <v>26</v>
      </c>
      <c r="G21" s="28" t="s">
        <v>27</v>
      </c>
      <c r="H21" s="28" t="s">
        <v>28</v>
      </c>
      <c r="I21" s="28" t="s">
        <v>29</v>
      </c>
      <c r="J21" s="28" t="s">
        <v>30</v>
      </c>
      <c r="K21" s="28" t="s">
        <v>31</v>
      </c>
      <c r="L21" s="28" t="s">
        <v>32</v>
      </c>
      <c r="M21" s="28" t="s">
        <v>33</v>
      </c>
    </row>
    <row r="22" spans="1:13" ht="15.95" customHeight="1">
      <c r="A22" s="15"/>
      <c r="B22" s="15"/>
      <c r="C22" s="15"/>
      <c r="F22" s="29"/>
      <c r="G22" s="29"/>
      <c r="H22" s="29"/>
      <c r="I22" s="29"/>
      <c r="J22" s="29"/>
      <c r="K22" s="29"/>
      <c r="L22" s="29"/>
      <c r="M22" s="29"/>
    </row>
    <row r="23" spans="1:13" ht="15.95" customHeight="1">
      <c r="A23"/>
      <c r="B23"/>
      <c r="C23"/>
      <c r="E23" s="24" t="s">
        <v>23</v>
      </c>
      <c r="F23" s="28">
        <f t="shared" ref="F23:K23" si="2">2*G23</f>
        <v>8388608</v>
      </c>
      <c r="G23" s="28">
        <f t="shared" si="2"/>
        <v>4194304</v>
      </c>
      <c r="H23" s="28">
        <f t="shared" si="2"/>
        <v>2097152</v>
      </c>
      <c r="I23" s="28">
        <f t="shared" si="2"/>
        <v>1048576</v>
      </c>
      <c r="J23" s="28">
        <f t="shared" si="2"/>
        <v>524288</v>
      </c>
      <c r="K23" s="28">
        <f t="shared" si="2"/>
        <v>262144</v>
      </c>
      <c r="L23" s="28">
        <f>2*M23</f>
        <v>131072</v>
      </c>
      <c r="M23" s="28">
        <f>2*F19</f>
        <v>65536</v>
      </c>
    </row>
    <row r="24" spans="1:13" ht="15.95" customHeight="1">
      <c r="A24"/>
      <c r="B24"/>
      <c r="C24"/>
      <c r="E24" s="24" t="s">
        <v>50</v>
      </c>
      <c r="F24" s="28">
        <v>128</v>
      </c>
      <c r="G24" s="28">
        <v>192</v>
      </c>
      <c r="H24" s="28">
        <v>224</v>
      </c>
      <c r="I24" s="28">
        <v>240</v>
      </c>
      <c r="J24" s="28">
        <v>248</v>
      </c>
      <c r="K24" s="28">
        <v>252</v>
      </c>
      <c r="L24" s="28">
        <v>254</v>
      </c>
      <c r="M24" s="28">
        <v>255</v>
      </c>
    </row>
    <row r="25" spans="1:13" ht="15.95" customHeight="1">
      <c r="A25"/>
      <c r="B25"/>
      <c r="C25"/>
      <c r="E25" s="24" t="s">
        <v>22</v>
      </c>
      <c r="F25" s="28" t="s">
        <v>41</v>
      </c>
      <c r="G25" s="28" t="s">
        <v>40</v>
      </c>
      <c r="H25" s="28" t="s">
        <v>39</v>
      </c>
      <c r="I25" s="28" t="s">
        <v>38</v>
      </c>
      <c r="J25" s="28" t="s">
        <v>37</v>
      </c>
      <c r="K25" s="28" t="s">
        <v>36</v>
      </c>
      <c r="L25" s="28" t="s">
        <v>35</v>
      </c>
      <c r="M25" s="28" t="s">
        <v>34</v>
      </c>
    </row>
    <row r="26" spans="1:13" ht="15.95" customHeight="1">
      <c r="A26"/>
      <c r="B26"/>
      <c r="C26"/>
      <c r="F26" s="29"/>
      <c r="G26" s="29"/>
      <c r="H26" s="29"/>
      <c r="I26" s="29"/>
      <c r="J26" s="29"/>
      <c r="K26" s="29"/>
      <c r="L26" s="29"/>
      <c r="M26" s="29"/>
    </row>
    <row r="27" spans="1:13" ht="15.95" customHeight="1">
      <c r="A27"/>
      <c r="B27"/>
      <c r="C27"/>
      <c r="E27" s="24" t="s">
        <v>23</v>
      </c>
      <c r="F27" s="28">
        <f t="shared" ref="F27:K27" si="3">2*G27</f>
        <v>2147483648</v>
      </c>
      <c r="G27" s="28">
        <f t="shared" si="3"/>
        <v>1073741824</v>
      </c>
      <c r="H27" s="28">
        <f t="shared" si="3"/>
        <v>536870912</v>
      </c>
      <c r="I27" s="28">
        <f t="shared" si="3"/>
        <v>268435456</v>
      </c>
      <c r="J27" s="28">
        <f t="shared" si="3"/>
        <v>134217728</v>
      </c>
      <c r="K27" s="28">
        <f t="shared" si="3"/>
        <v>67108864</v>
      </c>
      <c r="L27" s="28">
        <f>2*M27</f>
        <v>33554432</v>
      </c>
      <c r="M27" s="28">
        <f>2*F23</f>
        <v>16777216</v>
      </c>
    </row>
    <row r="28" spans="1:13" ht="15.95" customHeight="1">
      <c r="A28"/>
      <c r="B28"/>
      <c r="C28"/>
      <c r="E28" s="24" t="s">
        <v>51</v>
      </c>
      <c r="F28" s="28">
        <v>128</v>
      </c>
      <c r="G28" s="28">
        <v>192</v>
      </c>
      <c r="H28" s="28">
        <v>224</v>
      </c>
      <c r="I28" s="28">
        <v>240</v>
      </c>
      <c r="J28" s="28">
        <v>248</v>
      </c>
      <c r="K28" s="28">
        <v>252</v>
      </c>
      <c r="L28" s="28">
        <v>254</v>
      </c>
      <c r="M28" s="28">
        <v>255</v>
      </c>
    </row>
    <row r="29" spans="1:13" ht="15.95" customHeight="1">
      <c r="A29"/>
      <c r="B29"/>
      <c r="C29"/>
      <c r="E29" s="24" t="s">
        <v>22</v>
      </c>
      <c r="F29" s="28" t="s">
        <v>49</v>
      </c>
      <c r="G29" s="28" t="s">
        <v>48</v>
      </c>
      <c r="H29" s="28" t="s">
        <v>47</v>
      </c>
      <c r="I29" s="28" t="s">
        <v>46</v>
      </c>
      <c r="J29" s="28" t="s">
        <v>45</v>
      </c>
      <c r="K29" s="28" t="s">
        <v>44</v>
      </c>
      <c r="L29" s="28" t="s">
        <v>43</v>
      </c>
      <c r="M29" s="28" t="s">
        <v>42</v>
      </c>
    </row>
    <row r="30" spans="1:13" ht="15.95" customHeight="1">
      <c r="A30"/>
      <c r="B30"/>
      <c r="C30"/>
    </row>
    <row r="31" spans="1:13" ht="15.95" customHeight="1">
      <c r="A31"/>
      <c r="B31"/>
      <c r="C31"/>
    </row>
    <row r="32" spans="1:13" ht="15.95" customHeight="1">
      <c r="A32"/>
      <c r="B32"/>
      <c r="C32"/>
    </row>
    <row r="33" spans="1:3" ht="15.95" customHeight="1">
      <c r="A33"/>
      <c r="B33"/>
      <c r="C33"/>
    </row>
    <row r="34" spans="1:3" ht="15.95" customHeight="1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</sheetData>
  <sheetProtection algorithmName="SHA-512" hashValue="40ueNJMj4Tuez7Xy54LebBXlRy4rus76bjpDl84dtrs2YFExPuS1m3R2xYRde55FskagJyetCrt9L2bOswotbg==" saltValue="u3rjhC7AM9ImMvN1UsD4Sg==" spinCount="100000" sheet="1" objects="1" scenarios="1" selectLockedCells="1"/>
  <conditionalFormatting sqref="B2:C13">
    <cfRule type="expression" dxfId="3" priority="1">
      <formula>$B2=C2</formula>
    </cfRule>
  </conditionalFormatting>
  <hyperlinks>
    <hyperlink ref="E14" r:id="rId1" xr:uid="{00000000-0004-0000-0000-000000000000}"/>
    <hyperlink ref="A13" r:id="rId2" xr:uid="{00000000-0004-0000-0000-000001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F90F9-1642-43EC-B40E-5C8E08788C95}">
  <sheetPr codeName="Munka10"/>
  <dimension ref="A1:M5019"/>
  <sheetViews>
    <sheetView workbookViewId="0">
      <selection activeCell="B9" sqref="B9"/>
    </sheetView>
  </sheetViews>
  <sheetFormatPr defaultRowHeight="15"/>
  <cols>
    <col min="1" max="1" width="34.85546875" style="1" customWidth="1"/>
    <col min="2" max="2" width="42.140625" style="1" customWidth="1"/>
    <col min="3" max="3" width="42.7109375" style="1" hidden="1" customWidth="1"/>
    <col min="4" max="4" width="31.5703125" style="1" customWidth="1"/>
    <col min="5" max="5" width="7.5703125" style="1" customWidth="1"/>
    <col min="6" max="6" width="9.140625" style="1" customWidth="1"/>
    <col min="7" max="16384" width="9.140625" style="1"/>
  </cols>
  <sheetData>
    <row r="1" spans="1:13" ht="15.75" thickBot="1">
      <c r="A1" s="33">
        <f ca="1">TODAY()</f>
        <v>44122</v>
      </c>
      <c r="B1" s="32" t="s">
        <v>161</v>
      </c>
      <c r="C1" s="30" t="str">
        <f ca="1">INFO("VERZIÓ")</f>
        <v>16.0</v>
      </c>
      <c r="D1" s="38"/>
      <c r="E1" s="31"/>
      <c r="F1" s="31"/>
      <c r="G1" s="31"/>
      <c r="H1" s="31"/>
      <c r="I1" s="31"/>
      <c r="J1" s="31"/>
      <c r="K1" s="31"/>
    </row>
    <row r="2" spans="1:13" ht="15.95" customHeight="1" thickBot="1">
      <c r="A2" s="17" t="s">
        <v>5</v>
      </c>
      <c r="B2" s="14" t="s">
        <v>183</v>
      </c>
      <c r="C2" s="9"/>
      <c r="D2" s="37">
        <v>44115.641087962962</v>
      </c>
      <c r="E2" s="23" t="s">
        <v>13</v>
      </c>
      <c r="F2" s="23" t="s">
        <v>14</v>
      </c>
    </row>
    <row r="3" spans="1:13" ht="15.95" customHeight="1" thickBot="1">
      <c r="A3" s="18" t="s">
        <v>6</v>
      </c>
      <c r="B3" s="19" t="s">
        <v>185</v>
      </c>
      <c r="C3" s="11"/>
      <c r="D3" s="37">
        <v>44115.641331018516</v>
      </c>
      <c r="E3" s="25">
        <v>1</v>
      </c>
      <c r="F3" s="22" t="str">
        <f>DEC2BIN(E3,8)</f>
        <v>00000001</v>
      </c>
    </row>
    <row r="4" spans="1:13" ht="15.95" customHeight="1" thickBot="1">
      <c r="A4" s="8" t="s">
        <v>3</v>
      </c>
      <c r="B4" s="14" t="s">
        <v>18</v>
      </c>
      <c r="C4" s="9"/>
      <c r="D4" s="37">
        <v>44115.641018518516</v>
      </c>
      <c r="E4" s="21">
        <f>BIN2DEC(F4)</f>
        <v>170</v>
      </c>
      <c r="F4" s="26">
        <v>10101010</v>
      </c>
    </row>
    <row r="5" spans="1:13" ht="15.95" customHeight="1">
      <c r="A5" s="8" t="s">
        <v>4</v>
      </c>
      <c r="B5" s="14" t="s">
        <v>184</v>
      </c>
      <c r="C5" s="9"/>
      <c r="D5" s="37">
        <v>44115.641238425924</v>
      </c>
    </row>
    <row r="6" spans="1:13" ht="15.95" customHeight="1">
      <c r="A6" s="8" t="s">
        <v>2</v>
      </c>
      <c r="B6" s="14" t="s">
        <v>186</v>
      </c>
      <c r="C6" s="11"/>
      <c r="D6" s="37">
        <v>44115.64166666667</v>
      </c>
      <c r="E6" s="1" t="s">
        <v>61</v>
      </c>
      <c r="G6" s="1">
        <v>23</v>
      </c>
    </row>
    <row r="7" spans="1:13" ht="15.95" customHeight="1">
      <c r="A7" s="8" t="s">
        <v>157</v>
      </c>
      <c r="B7" s="14" t="s">
        <v>187</v>
      </c>
      <c r="C7" s="9"/>
      <c r="D7" s="39">
        <v>44115.641793981478</v>
      </c>
      <c r="E7" s="21" t="s">
        <v>5</v>
      </c>
      <c r="F7" s="21"/>
      <c r="G7" s="27" t="str">
        <f>MID(B3,1,8)&amp;" "&amp;MID(B3,9,8)&amp;" "&amp;MID(B3,17,8)&amp;" "&amp;MID(B3,25,8)&amp;" "</f>
        <v xml:space="preserve">01110110 00011001 01001010 01010110 </v>
      </c>
      <c r="H7" s="27"/>
      <c r="I7" s="27"/>
      <c r="J7" s="27"/>
    </row>
    <row r="8" spans="1:13" ht="15.95" customHeight="1">
      <c r="A8" s="8" t="s">
        <v>158</v>
      </c>
      <c r="B8" s="14" t="s">
        <v>189</v>
      </c>
      <c r="C8" s="9"/>
      <c r="D8" s="37">
        <v>44115.642164351855</v>
      </c>
      <c r="E8" s="21" t="s">
        <v>52</v>
      </c>
      <c r="F8" s="21"/>
      <c r="G8" s="27" t="str">
        <f>MID(B6,1,8)&amp;" "&amp;MID(B6,9,8)&amp;" "&amp;MID(B6,17,8)&amp;" "&amp;MID(B6,25,8)&amp;" "</f>
        <v xml:space="preserve">11111111 11111111 11111111 11100000 </v>
      </c>
      <c r="H8" s="27"/>
      <c r="I8" s="27"/>
      <c r="J8" s="27"/>
    </row>
    <row r="9" spans="1:13" ht="15.95" customHeight="1">
      <c r="A9" s="8" t="s">
        <v>160</v>
      </c>
      <c r="B9" s="14" t="s">
        <v>187</v>
      </c>
      <c r="C9" s="9"/>
      <c r="D9" s="37">
        <v>44115.642372685186</v>
      </c>
      <c r="E9" s="27" t="s">
        <v>53</v>
      </c>
      <c r="F9" s="27"/>
      <c r="G9" s="34" t="s">
        <v>54</v>
      </c>
      <c r="H9" s="21"/>
      <c r="I9" s="21"/>
      <c r="J9" s="21"/>
    </row>
    <row r="10" spans="1:13" ht="15.95" customHeight="1">
      <c r="A10" s="8" t="s">
        <v>159</v>
      </c>
      <c r="B10" s="14" t="s">
        <v>188</v>
      </c>
      <c r="C10" s="9"/>
      <c r="D10" s="37">
        <v>44115.641921296294</v>
      </c>
      <c r="E10" s="27" t="s">
        <v>56</v>
      </c>
      <c r="F10" s="27"/>
      <c r="G10" s="21" t="s">
        <v>55</v>
      </c>
      <c r="H10" s="21"/>
      <c r="I10" s="21"/>
      <c r="J10" s="21"/>
    </row>
    <row r="11" spans="1:13" ht="15.95" customHeight="1">
      <c r="A11" s="8" t="s">
        <v>0</v>
      </c>
      <c r="B11" s="20"/>
      <c r="C11" s="9"/>
      <c r="D11" s="37"/>
    </row>
    <row r="12" spans="1:13" ht="15.95" customHeight="1">
      <c r="A12" s="8" t="s">
        <v>1</v>
      </c>
      <c r="B12" s="20">
        <v>28</v>
      </c>
      <c r="C12" s="9"/>
      <c r="D12" s="37">
        <v>44115.641967592594</v>
      </c>
    </row>
    <row r="13" spans="1:13" ht="15.95" customHeight="1">
      <c r="A13" s="36" t="s">
        <v>60</v>
      </c>
      <c r="B13" s="13">
        <v>30</v>
      </c>
      <c r="C13" s="10"/>
      <c r="D13" s="37">
        <v>44115.642060185186</v>
      </c>
    </row>
    <row r="14" spans="1:13" ht="15.95" customHeight="1">
      <c r="A14" s="2" t="s">
        <v>11</v>
      </c>
      <c r="B14" s="3" t="s">
        <v>181</v>
      </c>
      <c r="C14" s="5"/>
      <c r="D14" s="37"/>
      <c r="E14" s="35" t="s">
        <v>59</v>
      </c>
    </row>
    <row r="15" spans="1:13" ht="15.95" customHeight="1">
      <c r="B15" s="5"/>
      <c r="C15" s="12"/>
      <c r="D15" s="37"/>
      <c r="E15" s="24" t="s">
        <v>23</v>
      </c>
      <c r="F15" s="28">
        <v>128</v>
      </c>
      <c r="G15" s="28">
        <v>64</v>
      </c>
      <c r="H15" s="28">
        <v>32</v>
      </c>
      <c r="I15" s="28">
        <v>16</v>
      </c>
      <c r="J15" s="28">
        <v>8</v>
      </c>
      <c r="K15" s="28">
        <v>4</v>
      </c>
      <c r="L15" s="28">
        <v>2</v>
      </c>
      <c r="M15" s="28">
        <v>1</v>
      </c>
    </row>
    <row r="16" spans="1:13" ht="15.95" customHeight="1">
      <c r="A16" s="4" t="s">
        <v>182</v>
      </c>
      <c r="B16" s="5"/>
      <c r="C16" s="5"/>
      <c r="E16" s="24" t="s">
        <v>24</v>
      </c>
      <c r="F16" s="28">
        <f>256-F15</f>
        <v>128</v>
      </c>
      <c r="G16" s="28">
        <f t="shared" ref="G16:M16" si="0">256-G15</f>
        <v>192</v>
      </c>
      <c r="H16" s="28">
        <f t="shared" si="0"/>
        <v>224</v>
      </c>
      <c r="I16" s="28">
        <f t="shared" si="0"/>
        <v>240</v>
      </c>
      <c r="J16" s="28">
        <f t="shared" si="0"/>
        <v>248</v>
      </c>
      <c r="K16" s="28">
        <f t="shared" si="0"/>
        <v>252</v>
      </c>
      <c r="L16" s="28">
        <f t="shared" si="0"/>
        <v>254</v>
      </c>
      <c r="M16" s="28">
        <f t="shared" si="0"/>
        <v>255</v>
      </c>
    </row>
    <row r="17" spans="1:13" ht="15.95" customHeight="1" thickBot="1">
      <c r="A17" s="16" t="s">
        <v>10</v>
      </c>
      <c r="B17" s="5"/>
      <c r="C17" s="5"/>
      <c r="E17" s="24" t="s">
        <v>22</v>
      </c>
      <c r="F17" s="28" t="s">
        <v>16</v>
      </c>
      <c r="G17" s="28" t="s">
        <v>17</v>
      </c>
      <c r="H17" s="28" t="s">
        <v>18</v>
      </c>
      <c r="I17" s="28" t="s">
        <v>15</v>
      </c>
      <c r="J17" s="28" t="s">
        <v>12</v>
      </c>
      <c r="K17" s="28" t="s">
        <v>19</v>
      </c>
      <c r="L17" s="28" t="s">
        <v>20</v>
      </c>
      <c r="M17" s="28" t="s">
        <v>21</v>
      </c>
    </row>
    <row r="18" spans="1:13" ht="15.95" customHeight="1" thickBot="1">
      <c r="A18" s="6" t="s">
        <v>8</v>
      </c>
      <c r="B18" s="7" t="s">
        <v>9</v>
      </c>
      <c r="C18" s="7" t="s">
        <v>7</v>
      </c>
      <c r="F18" s="29"/>
      <c r="G18" s="29"/>
      <c r="H18" s="29"/>
      <c r="I18" s="29"/>
      <c r="J18" s="29"/>
      <c r="K18" s="29"/>
      <c r="L18" s="29"/>
      <c r="M18" s="29"/>
    </row>
    <row r="19" spans="1:13" ht="15.95" customHeight="1" thickTop="1">
      <c r="A19" s="15"/>
      <c r="B19" s="15"/>
      <c r="C19" s="15"/>
      <c r="D19" s="37">
        <v>44115.640856481485</v>
      </c>
      <c r="E19" s="24" t="s">
        <v>23</v>
      </c>
      <c r="F19" s="28">
        <f t="shared" ref="F19:K19" si="1">2*G19</f>
        <v>32768</v>
      </c>
      <c r="G19" s="28">
        <f t="shared" si="1"/>
        <v>16384</v>
      </c>
      <c r="H19" s="28">
        <f t="shared" si="1"/>
        <v>8192</v>
      </c>
      <c r="I19" s="28">
        <f t="shared" si="1"/>
        <v>4096</v>
      </c>
      <c r="J19" s="28">
        <f t="shared" si="1"/>
        <v>2048</v>
      </c>
      <c r="K19" s="28">
        <f t="shared" si="1"/>
        <v>1024</v>
      </c>
      <c r="L19" s="28">
        <f>2*M19</f>
        <v>512</v>
      </c>
      <c r="M19" s="28">
        <f>2*F15</f>
        <v>256</v>
      </c>
    </row>
    <row r="20" spans="1:13" ht="15.95" customHeight="1">
      <c r="A20" s="15"/>
      <c r="B20" s="15"/>
      <c r="C20" s="15"/>
      <c r="E20" s="24" t="s">
        <v>25</v>
      </c>
      <c r="F20" s="28">
        <v>128</v>
      </c>
      <c r="G20" s="28">
        <v>192</v>
      </c>
      <c r="H20" s="28">
        <v>224</v>
      </c>
      <c r="I20" s="28">
        <v>240</v>
      </c>
      <c r="J20" s="28">
        <v>248</v>
      </c>
      <c r="K20" s="28">
        <v>252</v>
      </c>
      <c r="L20" s="28">
        <v>254</v>
      </c>
      <c r="M20" s="28">
        <v>255</v>
      </c>
    </row>
    <row r="21" spans="1:13" ht="15.95" customHeight="1">
      <c r="A21" s="15"/>
      <c r="B21" s="15"/>
      <c r="C21" s="15"/>
      <c r="E21" s="24" t="s">
        <v>22</v>
      </c>
      <c r="F21" s="28" t="s">
        <v>26</v>
      </c>
      <c r="G21" s="28" t="s">
        <v>27</v>
      </c>
      <c r="H21" s="28" t="s">
        <v>28</v>
      </c>
      <c r="I21" s="28" t="s">
        <v>29</v>
      </c>
      <c r="J21" s="28" t="s">
        <v>30</v>
      </c>
      <c r="K21" s="28" t="s">
        <v>31</v>
      </c>
      <c r="L21" s="28" t="s">
        <v>32</v>
      </c>
      <c r="M21" s="28" t="s">
        <v>33</v>
      </c>
    </row>
    <row r="22" spans="1:13" ht="15.95" customHeight="1">
      <c r="A22" s="15"/>
      <c r="B22" s="15"/>
      <c r="C22" s="15"/>
      <c r="F22" s="29"/>
      <c r="G22" s="29"/>
      <c r="H22" s="29"/>
      <c r="I22" s="29"/>
      <c r="J22" s="29"/>
      <c r="K22" s="29"/>
      <c r="L22" s="29"/>
      <c r="M22" s="29"/>
    </row>
    <row r="23" spans="1:13" ht="15.95" customHeight="1">
      <c r="A23"/>
      <c r="B23"/>
      <c r="C23"/>
      <c r="E23" s="24" t="s">
        <v>23</v>
      </c>
      <c r="F23" s="28">
        <f t="shared" ref="F23:K23" si="2">2*G23</f>
        <v>8388608</v>
      </c>
      <c r="G23" s="28">
        <f t="shared" si="2"/>
        <v>4194304</v>
      </c>
      <c r="H23" s="28">
        <f t="shared" si="2"/>
        <v>2097152</v>
      </c>
      <c r="I23" s="28">
        <f t="shared" si="2"/>
        <v>1048576</v>
      </c>
      <c r="J23" s="28">
        <f t="shared" si="2"/>
        <v>524288</v>
      </c>
      <c r="K23" s="28">
        <f t="shared" si="2"/>
        <v>262144</v>
      </c>
      <c r="L23" s="28">
        <f>2*M23</f>
        <v>131072</v>
      </c>
      <c r="M23" s="28">
        <f>2*F19</f>
        <v>65536</v>
      </c>
    </row>
    <row r="24" spans="1:13" ht="15.95" customHeight="1">
      <c r="A24"/>
      <c r="B24"/>
      <c r="C24"/>
      <c r="E24" s="24" t="s">
        <v>50</v>
      </c>
      <c r="F24" s="28">
        <v>128</v>
      </c>
      <c r="G24" s="28">
        <v>192</v>
      </c>
      <c r="H24" s="28">
        <v>224</v>
      </c>
      <c r="I24" s="28">
        <v>240</v>
      </c>
      <c r="J24" s="28">
        <v>248</v>
      </c>
      <c r="K24" s="28">
        <v>252</v>
      </c>
      <c r="L24" s="28">
        <v>254</v>
      </c>
      <c r="M24" s="28">
        <v>255</v>
      </c>
    </row>
    <row r="25" spans="1:13" ht="15.95" customHeight="1">
      <c r="A25"/>
      <c r="B25"/>
      <c r="C25"/>
      <c r="E25" s="24" t="s">
        <v>22</v>
      </c>
      <c r="F25" s="28" t="s">
        <v>41</v>
      </c>
      <c r="G25" s="28" t="s">
        <v>40</v>
      </c>
      <c r="H25" s="28" t="s">
        <v>39</v>
      </c>
      <c r="I25" s="28" t="s">
        <v>38</v>
      </c>
      <c r="J25" s="28" t="s">
        <v>37</v>
      </c>
      <c r="K25" s="28" t="s">
        <v>36</v>
      </c>
      <c r="L25" s="28" t="s">
        <v>35</v>
      </c>
      <c r="M25" s="28" t="s">
        <v>34</v>
      </c>
    </row>
    <row r="26" spans="1:13" ht="15.95" customHeight="1">
      <c r="A26"/>
      <c r="B26"/>
      <c r="C26"/>
      <c r="F26" s="29"/>
      <c r="G26" s="29"/>
      <c r="H26" s="29"/>
      <c r="I26" s="29"/>
      <c r="J26" s="29"/>
      <c r="K26" s="29"/>
      <c r="L26" s="29"/>
      <c r="M26" s="29"/>
    </row>
    <row r="27" spans="1:13" ht="15.95" customHeight="1">
      <c r="A27"/>
      <c r="B27"/>
      <c r="C27"/>
      <c r="E27" s="24" t="s">
        <v>23</v>
      </c>
      <c r="F27" s="28">
        <f t="shared" ref="F27:K27" si="3">2*G27</f>
        <v>2147483648</v>
      </c>
      <c r="G27" s="28">
        <f t="shared" si="3"/>
        <v>1073741824</v>
      </c>
      <c r="H27" s="28">
        <f t="shared" si="3"/>
        <v>536870912</v>
      </c>
      <c r="I27" s="28">
        <f t="shared" si="3"/>
        <v>268435456</v>
      </c>
      <c r="J27" s="28">
        <f t="shared" si="3"/>
        <v>134217728</v>
      </c>
      <c r="K27" s="28">
        <f t="shared" si="3"/>
        <v>67108864</v>
      </c>
      <c r="L27" s="28">
        <f>2*M27</f>
        <v>33554432</v>
      </c>
      <c r="M27" s="28">
        <f>2*F23</f>
        <v>16777216</v>
      </c>
    </row>
    <row r="28" spans="1:13" ht="15.95" customHeight="1">
      <c r="A28"/>
      <c r="B28"/>
      <c r="C28"/>
      <c r="E28" s="24" t="s">
        <v>51</v>
      </c>
      <c r="F28" s="28">
        <v>128</v>
      </c>
      <c r="G28" s="28">
        <v>192</v>
      </c>
      <c r="H28" s="28">
        <v>224</v>
      </c>
      <c r="I28" s="28">
        <v>240</v>
      </c>
      <c r="J28" s="28">
        <v>248</v>
      </c>
      <c r="K28" s="28">
        <v>252</v>
      </c>
      <c r="L28" s="28">
        <v>254</v>
      </c>
      <c r="M28" s="28">
        <v>255</v>
      </c>
    </row>
    <row r="29" spans="1:13" ht="15.95" customHeight="1">
      <c r="A29"/>
      <c r="B29"/>
      <c r="C29"/>
      <c r="E29" s="24" t="s">
        <v>22</v>
      </c>
      <c r="F29" s="28" t="s">
        <v>49</v>
      </c>
      <c r="G29" s="28" t="s">
        <v>48</v>
      </c>
      <c r="H29" s="28" t="s">
        <v>47</v>
      </c>
      <c r="I29" s="28" t="s">
        <v>46</v>
      </c>
      <c r="J29" s="28" t="s">
        <v>45</v>
      </c>
      <c r="K29" s="28" t="s">
        <v>44</v>
      </c>
      <c r="L29" s="28" t="s">
        <v>43</v>
      </c>
      <c r="M29" s="28" t="s">
        <v>42</v>
      </c>
    </row>
    <row r="30" spans="1:13" ht="15.95" customHeight="1">
      <c r="A30"/>
      <c r="B30"/>
      <c r="C30"/>
    </row>
    <row r="31" spans="1:13" ht="15.95" customHeight="1">
      <c r="A31"/>
      <c r="B31"/>
      <c r="C31"/>
    </row>
    <row r="32" spans="1:13" ht="15.95" customHeight="1">
      <c r="A32"/>
      <c r="B32"/>
      <c r="C32"/>
    </row>
    <row r="33" spans="1:3" ht="15.95" customHeight="1">
      <c r="A33"/>
      <c r="B33"/>
      <c r="C33"/>
    </row>
    <row r="34" spans="1:3" ht="15.95" customHeight="1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</sheetData>
  <sheetProtection algorithmName="SHA-512" hashValue="APZHwhmLeuyed0Qwojp2cFww45/V7g1PONCQlsWOfpU7jvUHzlMYY9HKFe3A1IvXE6595xMD+hofPbB0GusWdA==" saltValue="8gj0QD9uFoahhlGJ3Y8I6Q==" spinCount="100000" sheet="1" objects="1" scenarios="1" selectLockedCells="1"/>
  <conditionalFormatting sqref="B2:C13">
    <cfRule type="expression" dxfId="2" priority="1">
      <formula>$B2=C2</formula>
    </cfRule>
  </conditionalFormatting>
  <hyperlinks>
    <hyperlink ref="E14" r:id="rId1" xr:uid="{6C00CFC5-755E-48B1-9591-C1FE5CE3C87F}"/>
    <hyperlink ref="A13" r:id="rId2" xr:uid="{2C093FCE-1E48-43A6-B039-D228FA1E3665}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00D0D-B625-479E-AD81-E8C4C63F9E06}">
  <sheetPr codeName="Munka9"/>
  <dimension ref="A1:M5019"/>
  <sheetViews>
    <sheetView workbookViewId="0">
      <selection activeCell="B11" sqref="B11"/>
    </sheetView>
  </sheetViews>
  <sheetFormatPr defaultRowHeight="15"/>
  <cols>
    <col min="1" max="1" width="34.85546875" style="1" customWidth="1"/>
    <col min="2" max="2" width="42.140625" style="1" customWidth="1"/>
    <col min="3" max="3" width="42.7109375" style="1" hidden="1" customWidth="1"/>
    <col min="4" max="4" width="31.5703125" style="1" customWidth="1"/>
    <col min="5" max="5" width="7.5703125" style="1" customWidth="1"/>
    <col min="6" max="6" width="9.140625" style="1" customWidth="1"/>
    <col min="7" max="16384" width="9.140625" style="1"/>
  </cols>
  <sheetData>
    <row r="1" spans="1:13" ht="15.75" thickBot="1">
      <c r="A1" s="33">
        <f ca="1">TODAY()</f>
        <v>44122</v>
      </c>
      <c r="B1" s="32" t="s">
        <v>161</v>
      </c>
      <c r="C1" s="30" t="str">
        <f ca="1">INFO("VERZIÓ")</f>
        <v>16.0</v>
      </c>
      <c r="D1" s="38"/>
      <c r="E1" s="31"/>
      <c r="F1" s="31"/>
      <c r="G1" s="31"/>
      <c r="H1" s="31"/>
      <c r="I1" s="31"/>
      <c r="J1" s="31"/>
      <c r="K1" s="31"/>
    </row>
    <row r="2" spans="1:13" ht="15.95" customHeight="1" thickBot="1">
      <c r="A2" s="17" t="s">
        <v>5</v>
      </c>
      <c r="B2" s="14" t="s">
        <v>174</v>
      </c>
      <c r="C2" s="9"/>
      <c r="D2" s="37">
        <v>44115.639293981483</v>
      </c>
      <c r="E2" s="23" t="s">
        <v>13</v>
      </c>
      <c r="F2" s="23" t="s">
        <v>14</v>
      </c>
    </row>
    <row r="3" spans="1:13" ht="15.95" customHeight="1" thickBot="1">
      <c r="A3" s="18" t="s">
        <v>6</v>
      </c>
      <c r="B3" s="19" t="s">
        <v>177</v>
      </c>
      <c r="C3" s="11"/>
      <c r="D3" s="37">
        <v>44115.639756944445</v>
      </c>
      <c r="E3" s="25">
        <v>1</v>
      </c>
      <c r="F3" s="22" t="str">
        <f>DEC2BIN(E3,8)</f>
        <v>00000001</v>
      </c>
    </row>
    <row r="4" spans="1:13" ht="15.95" customHeight="1" thickBot="1">
      <c r="A4" s="8" t="s">
        <v>3</v>
      </c>
      <c r="B4" s="14" t="s">
        <v>33</v>
      </c>
      <c r="C4" s="9"/>
      <c r="D4" s="37">
        <v>44115.639201388891</v>
      </c>
      <c r="E4" s="21">
        <f>BIN2DEC(F4)</f>
        <v>170</v>
      </c>
      <c r="F4" s="26">
        <v>10101010</v>
      </c>
    </row>
    <row r="5" spans="1:13" ht="15.95" customHeight="1">
      <c r="A5" s="8" t="s">
        <v>4</v>
      </c>
      <c r="B5" s="14" t="s">
        <v>175</v>
      </c>
      <c r="C5" s="9"/>
      <c r="D5" s="37">
        <v>44115.639502314814</v>
      </c>
    </row>
    <row r="6" spans="1:13" ht="15.95" customHeight="1">
      <c r="A6" s="8" t="s">
        <v>2</v>
      </c>
      <c r="B6" s="14" t="s">
        <v>176</v>
      </c>
      <c r="C6" s="11"/>
      <c r="D6" s="37">
        <v>44115.639641203707</v>
      </c>
      <c r="E6" s="1" t="s">
        <v>61</v>
      </c>
      <c r="G6" s="1">
        <v>23</v>
      </c>
    </row>
    <row r="7" spans="1:13" ht="15.95" customHeight="1">
      <c r="A7" s="8" t="s">
        <v>157</v>
      </c>
      <c r="B7" s="14" t="s">
        <v>178</v>
      </c>
      <c r="C7" s="9"/>
      <c r="D7" s="39">
        <v>44115.640092592592</v>
      </c>
      <c r="E7" s="21" t="s">
        <v>5</v>
      </c>
      <c r="F7" s="21"/>
      <c r="G7" s="27" t="str">
        <f>MID(B3,1,8)&amp;" "&amp;MID(B3,9,8)&amp;" "&amp;MID(B3,17,8)&amp;" "&amp;MID(B3,25,8)&amp;" "</f>
        <v xml:space="preserve">10010000 01001000 00111100  0000000 </v>
      </c>
      <c r="H7" s="27"/>
      <c r="I7" s="27"/>
      <c r="J7" s="27"/>
    </row>
    <row r="8" spans="1:13" ht="15.95" customHeight="1">
      <c r="A8" s="8" t="s">
        <v>158</v>
      </c>
      <c r="B8" s="14" t="s">
        <v>174</v>
      </c>
      <c r="C8" s="9"/>
      <c r="D8" s="37">
        <v>44115.640439814815</v>
      </c>
      <c r="E8" s="21" t="s">
        <v>52</v>
      </c>
      <c r="F8" s="21"/>
      <c r="G8" s="27" t="str">
        <f>MID(B6,1,8)&amp;" "&amp;MID(B6,9,8)&amp;" "&amp;MID(B6,17,8)&amp;" "&amp;MID(B6,25,8)&amp;" "</f>
        <v xml:space="preserve">11111111 11111111 11111111  0000000 </v>
      </c>
      <c r="H8" s="27"/>
      <c r="I8" s="27"/>
      <c r="J8" s="27"/>
    </row>
    <row r="9" spans="1:13" ht="15.95" customHeight="1">
      <c r="A9" s="8" t="s">
        <v>160</v>
      </c>
      <c r="B9" s="14" t="s">
        <v>180</v>
      </c>
      <c r="C9" s="9"/>
      <c r="D9" s="37">
        <v>44115.6405787037</v>
      </c>
      <c r="E9" s="27" t="s">
        <v>53</v>
      </c>
      <c r="F9" s="27"/>
      <c r="G9" s="34" t="s">
        <v>54</v>
      </c>
      <c r="H9" s="21"/>
      <c r="I9" s="21"/>
      <c r="J9" s="21"/>
    </row>
    <row r="10" spans="1:13" ht="15.95" customHeight="1">
      <c r="A10" s="8" t="s">
        <v>159</v>
      </c>
      <c r="B10" s="14" t="s">
        <v>179</v>
      </c>
      <c r="C10" s="9"/>
      <c r="D10" s="37">
        <v>44115.640219907407</v>
      </c>
      <c r="E10" s="27" t="s">
        <v>56</v>
      </c>
      <c r="F10" s="27"/>
      <c r="G10" s="21" t="s">
        <v>55</v>
      </c>
      <c r="H10" s="21"/>
      <c r="I10" s="21"/>
      <c r="J10" s="21"/>
    </row>
    <row r="11" spans="1:13" ht="15.95" customHeight="1">
      <c r="A11" s="8" t="s">
        <v>0</v>
      </c>
      <c r="B11" s="20">
        <v>252</v>
      </c>
      <c r="C11" s="9"/>
      <c r="D11" s="37">
        <v>44115.640601851854</v>
      </c>
    </row>
    <row r="12" spans="1:13" ht="15.95" customHeight="1">
      <c r="A12" s="8" t="s">
        <v>1</v>
      </c>
      <c r="B12" s="20">
        <v>254</v>
      </c>
      <c r="C12" s="9"/>
      <c r="D12" s="37">
        <v>44115.640289351853</v>
      </c>
    </row>
    <row r="13" spans="1:13" ht="15.95" customHeight="1">
      <c r="A13" s="36" t="s">
        <v>60</v>
      </c>
      <c r="B13" s="13"/>
      <c r="C13" s="10"/>
      <c r="D13" s="37"/>
    </row>
    <row r="14" spans="1:13" ht="15.95" customHeight="1">
      <c r="A14" s="2" t="s">
        <v>11</v>
      </c>
      <c r="B14" s="3" t="s">
        <v>172</v>
      </c>
      <c r="C14" s="5"/>
      <c r="D14" s="37"/>
      <c r="E14" s="35" t="s">
        <v>59</v>
      </c>
    </row>
    <row r="15" spans="1:13" ht="15.95" customHeight="1">
      <c r="B15" s="5"/>
      <c r="C15" s="12"/>
      <c r="D15" s="37"/>
      <c r="E15" s="24" t="s">
        <v>23</v>
      </c>
      <c r="F15" s="28">
        <v>128</v>
      </c>
      <c r="G15" s="28">
        <v>64</v>
      </c>
      <c r="H15" s="28">
        <v>32</v>
      </c>
      <c r="I15" s="28">
        <v>16</v>
      </c>
      <c r="J15" s="28">
        <v>8</v>
      </c>
      <c r="K15" s="28">
        <v>4</v>
      </c>
      <c r="L15" s="28">
        <v>2</v>
      </c>
      <c r="M15" s="28">
        <v>1</v>
      </c>
    </row>
    <row r="16" spans="1:13" ht="15.95" customHeight="1">
      <c r="A16" s="4" t="s">
        <v>173</v>
      </c>
      <c r="B16" s="5"/>
      <c r="C16" s="5"/>
      <c r="E16" s="24" t="s">
        <v>24</v>
      </c>
      <c r="F16" s="28">
        <f>256-F15</f>
        <v>128</v>
      </c>
      <c r="G16" s="28">
        <f t="shared" ref="G16:M16" si="0">256-G15</f>
        <v>192</v>
      </c>
      <c r="H16" s="28">
        <f t="shared" si="0"/>
        <v>224</v>
      </c>
      <c r="I16" s="28">
        <f t="shared" si="0"/>
        <v>240</v>
      </c>
      <c r="J16" s="28">
        <f t="shared" si="0"/>
        <v>248</v>
      </c>
      <c r="K16" s="28">
        <f t="shared" si="0"/>
        <v>252</v>
      </c>
      <c r="L16" s="28">
        <f t="shared" si="0"/>
        <v>254</v>
      </c>
      <c r="M16" s="28">
        <f t="shared" si="0"/>
        <v>255</v>
      </c>
    </row>
    <row r="17" spans="1:13" ht="15.95" customHeight="1" thickBot="1">
      <c r="A17" s="16" t="s">
        <v>10</v>
      </c>
      <c r="B17" s="5"/>
      <c r="C17" s="5"/>
      <c r="E17" s="24" t="s">
        <v>22</v>
      </c>
      <c r="F17" s="28" t="s">
        <v>16</v>
      </c>
      <c r="G17" s="28" t="s">
        <v>17</v>
      </c>
      <c r="H17" s="28" t="s">
        <v>18</v>
      </c>
      <c r="I17" s="28" t="s">
        <v>15</v>
      </c>
      <c r="J17" s="28" t="s">
        <v>12</v>
      </c>
      <c r="K17" s="28" t="s">
        <v>19</v>
      </c>
      <c r="L17" s="28" t="s">
        <v>20</v>
      </c>
      <c r="M17" s="28" t="s">
        <v>21</v>
      </c>
    </row>
    <row r="18" spans="1:13" ht="15.95" customHeight="1" thickBot="1">
      <c r="A18" s="6" t="s">
        <v>8</v>
      </c>
      <c r="B18" s="7" t="s">
        <v>9</v>
      </c>
      <c r="C18" s="7" t="s">
        <v>7</v>
      </c>
      <c r="F18" s="29"/>
      <c r="G18" s="29"/>
      <c r="H18" s="29"/>
      <c r="I18" s="29"/>
      <c r="J18" s="29"/>
      <c r="K18" s="29"/>
      <c r="L18" s="29"/>
      <c r="M18" s="29"/>
    </row>
    <row r="19" spans="1:13" ht="15.95" customHeight="1" thickTop="1">
      <c r="A19" s="15"/>
      <c r="B19" s="15"/>
      <c r="C19" s="15"/>
      <c r="D19" s="37">
        <v>44115.638865740744</v>
      </c>
      <c r="E19" s="24" t="s">
        <v>23</v>
      </c>
      <c r="F19" s="28">
        <f t="shared" ref="F19:K19" si="1">2*G19</f>
        <v>32768</v>
      </c>
      <c r="G19" s="28">
        <f t="shared" si="1"/>
        <v>16384</v>
      </c>
      <c r="H19" s="28">
        <f t="shared" si="1"/>
        <v>8192</v>
      </c>
      <c r="I19" s="28">
        <f t="shared" si="1"/>
        <v>4096</v>
      </c>
      <c r="J19" s="28">
        <f t="shared" si="1"/>
        <v>2048</v>
      </c>
      <c r="K19" s="28">
        <f t="shared" si="1"/>
        <v>1024</v>
      </c>
      <c r="L19" s="28">
        <f>2*M19</f>
        <v>512</v>
      </c>
      <c r="M19" s="28">
        <f>2*F15</f>
        <v>256</v>
      </c>
    </row>
    <row r="20" spans="1:13" ht="15.95" customHeight="1">
      <c r="A20" s="15"/>
      <c r="B20" s="15"/>
      <c r="C20" s="15"/>
      <c r="E20" s="24" t="s">
        <v>25</v>
      </c>
      <c r="F20" s="28">
        <v>128</v>
      </c>
      <c r="G20" s="28">
        <v>192</v>
      </c>
      <c r="H20" s="28">
        <v>224</v>
      </c>
      <c r="I20" s="28">
        <v>240</v>
      </c>
      <c r="J20" s="28">
        <v>248</v>
      </c>
      <c r="K20" s="28">
        <v>252</v>
      </c>
      <c r="L20" s="28">
        <v>254</v>
      </c>
      <c r="M20" s="28">
        <v>255</v>
      </c>
    </row>
    <row r="21" spans="1:13" ht="15.95" customHeight="1">
      <c r="A21" s="15"/>
      <c r="B21" s="15"/>
      <c r="C21" s="15"/>
      <c r="E21" s="24" t="s">
        <v>22</v>
      </c>
      <c r="F21" s="28" t="s">
        <v>26</v>
      </c>
      <c r="G21" s="28" t="s">
        <v>27</v>
      </c>
      <c r="H21" s="28" t="s">
        <v>28</v>
      </c>
      <c r="I21" s="28" t="s">
        <v>29</v>
      </c>
      <c r="J21" s="28" t="s">
        <v>30</v>
      </c>
      <c r="K21" s="28" t="s">
        <v>31</v>
      </c>
      <c r="L21" s="28" t="s">
        <v>32</v>
      </c>
      <c r="M21" s="28" t="s">
        <v>33</v>
      </c>
    </row>
    <row r="22" spans="1:13" ht="15.95" customHeight="1">
      <c r="A22" s="15"/>
      <c r="B22" s="15"/>
      <c r="C22" s="15"/>
      <c r="F22" s="29"/>
      <c r="G22" s="29"/>
      <c r="H22" s="29"/>
      <c r="I22" s="29"/>
      <c r="J22" s="29"/>
      <c r="K22" s="29"/>
      <c r="L22" s="29"/>
      <c r="M22" s="29"/>
    </row>
    <row r="23" spans="1:13" ht="15.95" customHeight="1">
      <c r="A23" s="15"/>
      <c r="B23" s="15"/>
      <c r="C23" s="15"/>
      <c r="E23" s="24" t="s">
        <v>23</v>
      </c>
      <c r="F23" s="28">
        <f t="shared" ref="F23:K23" si="2">2*G23</f>
        <v>8388608</v>
      </c>
      <c r="G23" s="28">
        <f t="shared" si="2"/>
        <v>4194304</v>
      </c>
      <c r="H23" s="28">
        <f t="shared" si="2"/>
        <v>2097152</v>
      </c>
      <c r="I23" s="28">
        <f t="shared" si="2"/>
        <v>1048576</v>
      </c>
      <c r="J23" s="28">
        <f t="shared" si="2"/>
        <v>524288</v>
      </c>
      <c r="K23" s="28">
        <f t="shared" si="2"/>
        <v>262144</v>
      </c>
      <c r="L23" s="28">
        <f>2*M23</f>
        <v>131072</v>
      </c>
      <c r="M23" s="28">
        <f>2*F19</f>
        <v>65536</v>
      </c>
    </row>
    <row r="24" spans="1:13" ht="15.95" customHeight="1">
      <c r="A24" s="15"/>
      <c r="B24" s="15"/>
      <c r="C24" s="15"/>
      <c r="E24" s="24" t="s">
        <v>50</v>
      </c>
      <c r="F24" s="28">
        <v>128</v>
      </c>
      <c r="G24" s="28">
        <v>192</v>
      </c>
      <c r="H24" s="28">
        <v>224</v>
      </c>
      <c r="I24" s="28">
        <v>240</v>
      </c>
      <c r="J24" s="28">
        <v>248</v>
      </c>
      <c r="K24" s="28">
        <v>252</v>
      </c>
      <c r="L24" s="28">
        <v>254</v>
      </c>
      <c r="M24" s="28">
        <v>255</v>
      </c>
    </row>
    <row r="25" spans="1:13" ht="15.95" customHeight="1">
      <c r="A25" s="15"/>
      <c r="B25" s="15"/>
      <c r="C25" s="15"/>
      <c r="E25" s="24" t="s">
        <v>22</v>
      </c>
      <c r="F25" s="28" t="s">
        <v>41</v>
      </c>
      <c r="G25" s="28" t="s">
        <v>40</v>
      </c>
      <c r="H25" s="28" t="s">
        <v>39</v>
      </c>
      <c r="I25" s="28" t="s">
        <v>38</v>
      </c>
      <c r="J25" s="28" t="s">
        <v>37</v>
      </c>
      <c r="K25" s="28" t="s">
        <v>36</v>
      </c>
      <c r="L25" s="28" t="s">
        <v>35</v>
      </c>
      <c r="M25" s="28" t="s">
        <v>34</v>
      </c>
    </row>
    <row r="26" spans="1:13" ht="15.95" customHeight="1">
      <c r="A26" s="15"/>
      <c r="B26" s="15"/>
      <c r="C26" s="15"/>
      <c r="F26" s="29"/>
      <c r="G26" s="29"/>
      <c r="H26" s="29"/>
      <c r="I26" s="29"/>
      <c r="J26" s="29"/>
      <c r="K26" s="29"/>
      <c r="L26" s="29"/>
      <c r="M26" s="29"/>
    </row>
    <row r="27" spans="1:13" ht="15.95" customHeight="1">
      <c r="A27"/>
      <c r="B27"/>
      <c r="C27"/>
      <c r="E27" s="24" t="s">
        <v>23</v>
      </c>
      <c r="F27" s="28">
        <f t="shared" ref="F27:K27" si="3">2*G27</f>
        <v>2147483648</v>
      </c>
      <c r="G27" s="28">
        <f t="shared" si="3"/>
        <v>1073741824</v>
      </c>
      <c r="H27" s="28">
        <f t="shared" si="3"/>
        <v>536870912</v>
      </c>
      <c r="I27" s="28">
        <f t="shared" si="3"/>
        <v>268435456</v>
      </c>
      <c r="J27" s="28">
        <f t="shared" si="3"/>
        <v>134217728</v>
      </c>
      <c r="K27" s="28">
        <f t="shared" si="3"/>
        <v>67108864</v>
      </c>
      <c r="L27" s="28">
        <f>2*M27</f>
        <v>33554432</v>
      </c>
      <c r="M27" s="28">
        <f>2*F23</f>
        <v>16777216</v>
      </c>
    </row>
    <row r="28" spans="1:13" ht="15.95" customHeight="1">
      <c r="A28"/>
      <c r="B28"/>
      <c r="C28"/>
      <c r="E28" s="24" t="s">
        <v>51</v>
      </c>
      <c r="F28" s="28">
        <v>128</v>
      </c>
      <c r="G28" s="28">
        <v>192</v>
      </c>
      <c r="H28" s="28">
        <v>224</v>
      </c>
      <c r="I28" s="28">
        <v>240</v>
      </c>
      <c r="J28" s="28">
        <v>248</v>
      </c>
      <c r="K28" s="28">
        <v>252</v>
      </c>
      <c r="L28" s="28">
        <v>254</v>
      </c>
      <c r="M28" s="28">
        <v>255</v>
      </c>
    </row>
    <row r="29" spans="1:13" ht="15.95" customHeight="1">
      <c r="A29"/>
      <c r="B29"/>
      <c r="C29"/>
      <c r="E29" s="24" t="s">
        <v>22</v>
      </c>
      <c r="F29" s="28" t="s">
        <v>49</v>
      </c>
      <c r="G29" s="28" t="s">
        <v>48</v>
      </c>
      <c r="H29" s="28" t="s">
        <v>47</v>
      </c>
      <c r="I29" s="28" t="s">
        <v>46</v>
      </c>
      <c r="J29" s="28" t="s">
        <v>45</v>
      </c>
      <c r="K29" s="28" t="s">
        <v>44</v>
      </c>
      <c r="L29" s="28" t="s">
        <v>43</v>
      </c>
      <c r="M29" s="28" t="s">
        <v>42</v>
      </c>
    </row>
    <row r="30" spans="1:13" ht="15.95" customHeight="1">
      <c r="A30"/>
      <c r="B30"/>
      <c r="C30"/>
    </row>
    <row r="31" spans="1:13" ht="15.95" customHeight="1">
      <c r="A31"/>
      <c r="B31"/>
      <c r="C31"/>
    </row>
    <row r="32" spans="1:13" ht="15.95" customHeight="1">
      <c r="A32"/>
      <c r="B32"/>
      <c r="C32"/>
    </row>
    <row r="33" spans="1:3" ht="15.95" customHeight="1">
      <c r="A33"/>
      <c r="B33"/>
      <c r="C33"/>
    </row>
    <row r="34" spans="1:3" ht="15.95" customHeight="1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</sheetData>
  <sheetProtection algorithmName="SHA-512" hashValue="kvCQ9epd/maxBfICJi+E9K7vX82/rfUO48zESs6EgVqRenYph3Jg05/m90ekcq402LhvupNAxaGd5agDZaPJYw==" saltValue="rpB//n0xgnOxc2+c4f4X6A==" spinCount="100000" sheet="1" objects="1" scenarios="1" selectLockedCells="1"/>
  <conditionalFormatting sqref="B2:C13">
    <cfRule type="expression" dxfId="1" priority="1">
      <formula>$B2=C2</formula>
    </cfRule>
  </conditionalFormatting>
  <hyperlinks>
    <hyperlink ref="E14" r:id="rId1" xr:uid="{D6877502-37AB-4B91-B418-FCE74929214E}"/>
    <hyperlink ref="A13" r:id="rId2" xr:uid="{D8C2993C-40DC-4C3E-8F12-7735356C63DB}"/>
  </hyperlinks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180D-3E13-4CED-A70D-12BB4D9923CF}">
  <sheetPr codeName="Munka8"/>
  <dimension ref="A1:M5019"/>
  <sheetViews>
    <sheetView workbookViewId="0">
      <selection activeCell="B11" sqref="B11"/>
    </sheetView>
  </sheetViews>
  <sheetFormatPr defaultRowHeight="15"/>
  <cols>
    <col min="1" max="1" width="34.85546875" style="1" customWidth="1"/>
    <col min="2" max="2" width="42.140625" style="1" customWidth="1"/>
    <col min="3" max="3" width="42.7109375" style="1" hidden="1" customWidth="1"/>
    <col min="4" max="4" width="31.5703125" style="1" customWidth="1"/>
    <col min="5" max="5" width="7.5703125" style="1" customWidth="1"/>
    <col min="6" max="6" width="9.140625" style="1" customWidth="1"/>
    <col min="7" max="16384" width="9.140625" style="1"/>
  </cols>
  <sheetData>
    <row r="1" spans="1:13" ht="15.75" thickBot="1">
      <c r="A1" s="33">
        <f ca="1">TODAY()</f>
        <v>44122</v>
      </c>
      <c r="B1" s="32" t="s">
        <v>161</v>
      </c>
      <c r="C1" s="30" t="str">
        <f ca="1">INFO("VERZIÓ")</f>
        <v>16.0</v>
      </c>
      <c r="D1" s="38"/>
      <c r="E1" s="31"/>
      <c r="F1" s="31"/>
      <c r="G1" s="31"/>
      <c r="H1" s="31"/>
      <c r="I1" s="31"/>
      <c r="J1" s="31"/>
      <c r="K1" s="31"/>
    </row>
    <row r="2" spans="1:13" ht="15.95" customHeight="1" thickBot="1">
      <c r="A2" s="17" t="s">
        <v>5</v>
      </c>
      <c r="B2" s="14" t="s">
        <v>165</v>
      </c>
      <c r="C2" s="9"/>
      <c r="D2" s="37">
        <v>44115.636412037034</v>
      </c>
      <c r="E2" s="23" t="s">
        <v>13</v>
      </c>
      <c r="F2" s="23" t="s">
        <v>14</v>
      </c>
    </row>
    <row r="3" spans="1:13" ht="15.95" customHeight="1" thickBot="1">
      <c r="A3" s="18" t="s">
        <v>6</v>
      </c>
      <c r="B3" s="19" t="s">
        <v>166</v>
      </c>
      <c r="C3" s="11"/>
      <c r="D3" s="37">
        <v>44115.63658564815</v>
      </c>
      <c r="E3" s="25">
        <v>1</v>
      </c>
      <c r="F3" s="22" t="str">
        <f>DEC2BIN(E3,8)</f>
        <v>00000001</v>
      </c>
    </row>
    <row r="4" spans="1:13" ht="15.95" customHeight="1" thickBot="1">
      <c r="A4" s="8" t="s">
        <v>3</v>
      </c>
      <c r="B4" s="14" t="s">
        <v>17</v>
      </c>
      <c r="C4" s="9"/>
      <c r="D4" s="37">
        <v>44115.636504629627</v>
      </c>
      <c r="E4" s="21">
        <f>BIN2DEC(F4)</f>
        <v>170</v>
      </c>
      <c r="F4" s="26">
        <v>10101010</v>
      </c>
    </row>
    <row r="5" spans="1:13" ht="15.95" customHeight="1">
      <c r="A5" s="8" t="s">
        <v>4</v>
      </c>
      <c r="B5" s="14" t="s">
        <v>64</v>
      </c>
      <c r="C5" s="9"/>
      <c r="D5" s="37">
        <v>44115.637638888889</v>
      </c>
    </row>
    <row r="6" spans="1:13" ht="15.95" customHeight="1">
      <c r="A6" s="8" t="s">
        <v>2</v>
      </c>
      <c r="B6" s="57" t="s">
        <v>167</v>
      </c>
      <c r="C6" s="11"/>
      <c r="D6" s="37">
        <v>44115.637800925928</v>
      </c>
      <c r="E6" s="1" t="s">
        <v>61</v>
      </c>
      <c r="G6" s="1">
        <v>23</v>
      </c>
    </row>
    <row r="7" spans="1:13" ht="15.95" customHeight="1">
      <c r="A7" s="8" t="s">
        <v>157</v>
      </c>
      <c r="B7" s="14" t="s">
        <v>168</v>
      </c>
      <c r="C7" s="9"/>
      <c r="D7" s="39">
        <v>44115.638124999998</v>
      </c>
      <c r="E7" s="21" t="s">
        <v>5</v>
      </c>
      <c r="F7" s="21"/>
      <c r="G7" s="27" t="str">
        <f>MID(B3,1,8)&amp;" "&amp;MID(B3,9,8)&amp;" "&amp;MID(B3,17,8)&amp;" "&amp;MID(B3,25,8)&amp;" "</f>
        <v xml:space="preserve">11100101 01011101 11000000 00100111 </v>
      </c>
      <c r="H7" s="27"/>
      <c r="I7" s="27"/>
      <c r="J7" s="27"/>
    </row>
    <row r="8" spans="1:13" ht="15.95" customHeight="1">
      <c r="A8" s="8" t="s">
        <v>158</v>
      </c>
      <c r="B8" s="14" t="s">
        <v>170</v>
      </c>
      <c r="C8" s="9"/>
      <c r="D8" s="37">
        <v>44115.638553240744</v>
      </c>
      <c r="E8" s="21" t="s">
        <v>52</v>
      </c>
      <c r="F8" s="21"/>
      <c r="G8" s="27" t="str">
        <f>MID(B6,1,8)&amp;" "&amp;MID(B6,9,8)&amp;" "&amp;MID(B6,17,8)&amp;" "&amp;MID(B6,25,8)&amp;" "</f>
        <v xml:space="preserve">11111111 .1111111 1.111111 11.11 00 </v>
      </c>
      <c r="H8" s="27"/>
      <c r="I8" s="27"/>
      <c r="J8" s="27"/>
    </row>
    <row r="9" spans="1:13" ht="15.95" customHeight="1">
      <c r="A9" s="8" t="s">
        <v>160</v>
      </c>
      <c r="B9" s="14" t="s">
        <v>171</v>
      </c>
      <c r="C9" s="9"/>
      <c r="D9" s="37">
        <v>44115.638738425929</v>
      </c>
      <c r="E9" s="27" t="s">
        <v>53</v>
      </c>
      <c r="F9" s="27"/>
      <c r="G9" s="34" t="s">
        <v>54</v>
      </c>
      <c r="H9" s="21"/>
      <c r="I9" s="21"/>
      <c r="J9" s="21"/>
    </row>
    <row r="10" spans="1:13" ht="15.95" customHeight="1">
      <c r="A10" s="8" t="s">
        <v>159</v>
      </c>
      <c r="B10" s="14" t="s">
        <v>169</v>
      </c>
      <c r="C10" s="9"/>
      <c r="D10" s="37">
        <v>44115.638518518521</v>
      </c>
      <c r="E10" s="27" t="s">
        <v>56</v>
      </c>
      <c r="F10" s="27"/>
      <c r="G10" s="21" t="s">
        <v>55</v>
      </c>
      <c r="H10" s="21"/>
      <c r="I10" s="21"/>
      <c r="J10" s="21"/>
    </row>
    <row r="11" spans="1:13" ht="15.95" customHeight="1">
      <c r="A11" s="8" t="s">
        <v>0</v>
      </c>
      <c r="B11" s="20">
        <v>62</v>
      </c>
      <c r="C11" s="9"/>
      <c r="D11" s="37">
        <v>44115.638842592591</v>
      </c>
    </row>
    <row r="12" spans="1:13" ht="15.95" customHeight="1">
      <c r="A12" s="8" t="s">
        <v>1</v>
      </c>
      <c r="B12" s="20">
        <v>62</v>
      </c>
      <c r="C12" s="9"/>
      <c r="D12" s="37">
        <v>44115.638773148145</v>
      </c>
    </row>
    <row r="13" spans="1:13" ht="15.95" customHeight="1">
      <c r="A13" s="36" t="s">
        <v>60</v>
      </c>
      <c r="B13" s="13"/>
      <c r="C13" s="10"/>
      <c r="D13" s="37"/>
    </row>
    <row r="14" spans="1:13" ht="15.95" customHeight="1">
      <c r="A14" s="2" t="s">
        <v>11</v>
      </c>
      <c r="B14" s="3" t="s">
        <v>164</v>
      </c>
      <c r="C14" s="5"/>
      <c r="D14" s="37"/>
      <c r="E14" s="35" t="s">
        <v>59</v>
      </c>
    </row>
    <row r="15" spans="1:13" ht="15.95" customHeight="1">
      <c r="B15" s="5"/>
      <c r="C15" s="12"/>
      <c r="D15" s="37"/>
      <c r="E15" s="24" t="s">
        <v>23</v>
      </c>
      <c r="F15" s="28">
        <v>128</v>
      </c>
      <c r="G15" s="28">
        <v>64</v>
      </c>
      <c r="H15" s="28">
        <v>32</v>
      </c>
      <c r="I15" s="28">
        <v>16</v>
      </c>
      <c r="J15" s="28">
        <v>8</v>
      </c>
      <c r="K15" s="28">
        <v>4</v>
      </c>
      <c r="L15" s="28">
        <v>2</v>
      </c>
      <c r="M15" s="28">
        <v>1</v>
      </c>
    </row>
    <row r="16" spans="1:13" ht="15.95" customHeight="1">
      <c r="A16" s="4" t="s">
        <v>57</v>
      </c>
      <c r="B16" s="5"/>
      <c r="C16" s="5"/>
      <c r="E16" s="24" t="s">
        <v>24</v>
      </c>
      <c r="F16" s="28">
        <f>256-F15</f>
        <v>128</v>
      </c>
      <c r="G16" s="28">
        <f t="shared" ref="G16:M16" si="0">256-G15</f>
        <v>192</v>
      </c>
      <c r="H16" s="28">
        <f t="shared" si="0"/>
        <v>224</v>
      </c>
      <c r="I16" s="28">
        <f t="shared" si="0"/>
        <v>240</v>
      </c>
      <c r="J16" s="28">
        <f t="shared" si="0"/>
        <v>248</v>
      </c>
      <c r="K16" s="28">
        <f t="shared" si="0"/>
        <v>252</v>
      </c>
      <c r="L16" s="28">
        <f t="shared" si="0"/>
        <v>254</v>
      </c>
      <c r="M16" s="28">
        <f t="shared" si="0"/>
        <v>255</v>
      </c>
    </row>
    <row r="17" spans="1:13" ht="15.95" customHeight="1" thickBot="1">
      <c r="A17" s="16" t="s">
        <v>10</v>
      </c>
      <c r="B17" s="5"/>
      <c r="C17" s="5"/>
      <c r="E17" s="24" t="s">
        <v>22</v>
      </c>
      <c r="F17" s="28" t="s">
        <v>16</v>
      </c>
      <c r="G17" s="28" t="s">
        <v>17</v>
      </c>
      <c r="H17" s="28" t="s">
        <v>18</v>
      </c>
      <c r="I17" s="28" t="s">
        <v>15</v>
      </c>
      <c r="J17" s="28" t="s">
        <v>12</v>
      </c>
      <c r="K17" s="28" t="s">
        <v>19</v>
      </c>
      <c r="L17" s="28" t="s">
        <v>20</v>
      </c>
      <c r="M17" s="28" t="s">
        <v>21</v>
      </c>
    </row>
    <row r="18" spans="1:13" ht="15.95" customHeight="1" thickBot="1">
      <c r="A18" s="6" t="s">
        <v>8</v>
      </c>
      <c r="B18" s="7" t="s">
        <v>9</v>
      </c>
      <c r="C18" s="7" t="s">
        <v>7</v>
      </c>
      <c r="F18" s="29"/>
      <c r="G18" s="29"/>
      <c r="H18" s="29"/>
      <c r="I18" s="29"/>
      <c r="J18" s="29"/>
      <c r="K18" s="29"/>
      <c r="L18" s="29"/>
      <c r="M18" s="29"/>
    </row>
    <row r="19" spans="1:13" ht="15.95" customHeight="1" thickTop="1">
      <c r="A19" s="15"/>
      <c r="B19" s="15"/>
      <c r="C19" s="15"/>
      <c r="D19" s="37">
        <v>44115.636157407411</v>
      </c>
      <c r="E19" s="24" t="s">
        <v>23</v>
      </c>
      <c r="F19" s="28">
        <f t="shared" ref="F19:K19" si="1">2*G19</f>
        <v>32768</v>
      </c>
      <c r="G19" s="28">
        <f t="shared" si="1"/>
        <v>16384</v>
      </c>
      <c r="H19" s="28">
        <f t="shared" si="1"/>
        <v>8192</v>
      </c>
      <c r="I19" s="28">
        <f t="shared" si="1"/>
        <v>4096</v>
      </c>
      <c r="J19" s="28">
        <f t="shared" si="1"/>
        <v>2048</v>
      </c>
      <c r="K19" s="28">
        <f t="shared" si="1"/>
        <v>1024</v>
      </c>
      <c r="L19" s="28">
        <f>2*M19</f>
        <v>512</v>
      </c>
      <c r="M19" s="28">
        <f>2*F15</f>
        <v>256</v>
      </c>
    </row>
    <row r="20" spans="1:13" ht="15.95" customHeight="1">
      <c r="A20" s="15"/>
      <c r="B20" s="15"/>
      <c r="C20" s="15"/>
      <c r="E20" s="24" t="s">
        <v>25</v>
      </c>
      <c r="F20" s="28">
        <v>128</v>
      </c>
      <c r="G20" s="28">
        <v>192</v>
      </c>
      <c r="H20" s="28">
        <v>224</v>
      </c>
      <c r="I20" s="28">
        <v>240</v>
      </c>
      <c r="J20" s="28">
        <v>248</v>
      </c>
      <c r="K20" s="28">
        <v>252</v>
      </c>
      <c r="L20" s="28">
        <v>254</v>
      </c>
      <c r="M20" s="28">
        <v>255</v>
      </c>
    </row>
    <row r="21" spans="1:13" ht="15.95" customHeight="1">
      <c r="A21" s="15"/>
      <c r="B21" s="15"/>
      <c r="C21" s="15"/>
      <c r="E21" s="24" t="s">
        <v>22</v>
      </c>
      <c r="F21" s="28" t="s">
        <v>26</v>
      </c>
      <c r="G21" s="28" t="s">
        <v>27</v>
      </c>
      <c r="H21" s="28" t="s">
        <v>28</v>
      </c>
      <c r="I21" s="28" t="s">
        <v>29</v>
      </c>
      <c r="J21" s="28" t="s">
        <v>30</v>
      </c>
      <c r="K21" s="28" t="s">
        <v>31</v>
      </c>
      <c r="L21" s="28" t="s">
        <v>32</v>
      </c>
      <c r="M21" s="28" t="s">
        <v>33</v>
      </c>
    </row>
    <row r="22" spans="1:13" ht="15.95" customHeight="1">
      <c r="A22" s="15"/>
      <c r="B22" s="15"/>
      <c r="C22" s="15"/>
      <c r="F22" s="29"/>
      <c r="G22" s="29"/>
      <c r="H22" s="29"/>
      <c r="I22" s="29"/>
      <c r="J22" s="29"/>
      <c r="K22" s="29"/>
      <c r="L22" s="29"/>
      <c r="M22" s="29"/>
    </row>
    <row r="23" spans="1:13" ht="15.95" customHeight="1">
      <c r="A23"/>
      <c r="B23"/>
      <c r="C23"/>
      <c r="E23" s="24" t="s">
        <v>23</v>
      </c>
      <c r="F23" s="28">
        <f t="shared" ref="F23:K23" si="2">2*G23</f>
        <v>8388608</v>
      </c>
      <c r="G23" s="28">
        <f t="shared" si="2"/>
        <v>4194304</v>
      </c>
      <c r="H23" s="28">
        <f t="shared" si="2"/>
        <v>2097152</v>
      </c>
      <c r="I23" s="28">
        <f t="shared" si="2"/>
        <v>1048576</v>
      </c>
      <c r="J23" s="28">
        <f t="shared" si="2"/>
        <v>524288</v>
      </c>
      <c r="K23" s="28">
        <f t="shared" si="2"/>
        <v>262144</v>
      </c>
      <c r="L23" s="28">
        <f>2*M23</f>
        <v>131072</v>
      </c>
      <c r="M23" s="28">
        <f>2*F19</f>
        <v>65536</v>
      </c>
    </row>
    <row r="24" spans="1:13" ht="15.95" customHeight="1">
      <c r="A24"/>
      <c r="B24"/>
      <c r="C24"/>
      <c r="E24" s="24" t="s">
        <v>50</v>
      </c>
      <c r="F24" s="28">
        <v>128</v>
      </c>
      <c r="G24" s="28">
        <v>192</v>
      </c>
      <c r="H24" s="28">
        <v>224</v>
      </c>
      <c r="I24" s="28">
        <v>240</v>
      </c>
      <c r="J24" s="28">
        <v>248</v>
      </c>
      <c r="K24" s="28">
        <v>252</v>
      </c>
      <c r="L24" s="28">
        <v>254</v>
      </c>
      <c r="M24" s="28">
        <v>255</v>
      </c>
    </row>
    <row r="25" spans="1:13" ht="15.95" customHeight="1">
      <c r="A25"/>
      <c r="B25"/>
      <c r="C25"/>
      <c r="E25" s="24" t="s">
        <v>22</v>
      </c>
      <c r="F25" s="28" t="s">
        <v>41</v>
      </c>
      <c r="G25" s="28" t="s">
        <v>40</v>
      </c>
      <c r="H25" s="28" t="s">
        <v>39</v>
      </c>
      <c r="I25" s="28" t="s">
        <v>38</v>
      </c>
      <c r="J25" s="28" t="s">
        <v>37</v>
      </c>
      <c r="K25" s="28" t="s">
        <v>36</v>
      </c>
      <c r="L25" s="28" t="s">
        <v>35</v>
      </c>
      <c r="M25" s="28" t="s">
        <v>34</v>
      </c>
    </row>
    <row r="26" spans="1:13" ht="15.95" customHeight="1">
      <c r="A26"/>
      <c r="B26"/>
      <c r="C26"/>
      <c r="F26" s="29"/>
      <c r="G26" s="29"/>
      <c r="H26" s="29"/>
      <c r="I26" s="29"/>
      <c r="J26" s="29"/>
      <c r="K26" s="29"/>
      <c r="L26" s="29"/>
      <c r="M26" s="29"/>
    </row>
    <row r="27" spans="1:13" ht="15.95" customHeight="1">
      <c r="A27"/>
      <c r="B27"/>
      <c r="C27"/>
      <c r="E27" s="24" t="s">
        <v>23</v>
      </c>
      <c r="F27" s="28">
        <f t="shared" ref="F27:K27" si="3">2*G27</f>
        <v>2147483648</v>
      </c>
      <c r="G27" s="28">
        <f t="shared" si="3"/>
        <v>1073741824</v>
      </c>
      <c r="H27" s="28">
        <f t="shared" si="3"/>
        <v>536870912</v>
      </c>
      <c r="I27" s="28">
        <f t="shared" si="3"/>
        <v>268435456</v>
      </c>
      <c r="J27" s="28">
        <f t="shared" si="3"/>
        <v>134217728</v>
      </c>
      <c r="K27" s="28">
        <f t="shared" si="3"/>
        <v>67108864</v>
      </c>
      <c r="L27" s="28">
        <f>2*M27</f>
        <v>33554432</v>
      </c>
      <c r="M27" s="28">
        <f>2*F23</f>
        <v>16777216</v>
      </c>
    </row>
    <row r="28" spans="1:13" ht="15.95" customHeight="1">
      <c r="A28"/>
      <c r="B28"/>
      <c r="C28"/>
      <c r="E28" s="24" t="s">
        <v>51</v>
      </c>
      <c r="F28" s="28">
        <v>128</v>
      </c>
      <c r="G28" s="28">
        <v>192</v>
      </c>
      <c r="H28" s="28">
        <v>224</v>
      </c>
      <c r="I28" s="28">
        <v>240</v>
      </c>
      <c r="J28" s="28">
        <v>248</v>
      </c>
      <c r="K28" s="28">
        <v>252</v>
      </c>
      <c r="L28" s="28">
        <v>254</v>
      </c>
      <c r="M28" s="28">
        <v>255</v>
      </c>
    </row>
    <row r="29" spans="1:13" ht="15.95" customHeight="1">
      <c r="A29"/>
      <c r="B29"/>
      <c r="C29"/>
      <c r="E29" s="24" t="s">
        <v>22</v>
      </c>
      <c r="F29" s="28" t="s">
        <v>49</v>
      </c>
      <c r="G29" s="28" t="s">
        <v>48</v>
      </c>
      <c r="H29" s="28" t="s">
        <v>47</v>
      </c>
      <c r="I29" s="28" t="s">
        <v>46</v>
      </c>
      <c r="J29" s="28" t="s">
        <v>45</v>
      </c>
      <c r="K29" s="28" t="s">
        <v>44</v>
      </c>
      <c r="L29" s="28" t="s">
        <v>43</v>
      </c>
      <c r="M29" s="28" t="s">
        <v>42</v>
      </c>
    </row>
    <row r="30" spans="1:13" ht="15.95" customHeight="1">
      <c r="A30"/>
      <c r="B30"/>
      <c r="C30"/>
    </row>
    <row r="31" spans="1:13" ht="15.95" customHeight="1">
      <c r="A31"/>
      <c r="B31"/>
      <c r="C31"/>
    </row>
    <row r="32" spans="1:13" ht="15.95" customHeight="1">
      <c r="A32"/>
      <c r="B32"/>
      <c r="C32"/>
    </row>
    <row r="33" spans="1:3" ht="15.95" customHeight="1">
      <c r="A33"/>
      <c r="B33"/>
      <c r="C33"/>
    </row>
    <row r="34" spans="1:3" ht="15.95" customHeight="1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</sheetData>
  <sheetProtection algorithmName="SHA-512" hashValue="jCN1RSpINuMlFQ0L9w6FlZIYlEgBXBdp4GUTMAQaOsKGvpBDuM7bQLNyxEZZr5i4sMh361IC24gzD66bcOMilA==" saltValue="kgK4xmPnk/tXs3guZVg+Mg==" spinCount="100000" sheet="1" objects="1" scenarios="1" selectLockedCells="1"/>
  <conditionalFormatting sqref="B2:C5 B7:C13 C6">
    <cfRule type="expression" dxfId="0" priority="1">
      <formula>$B2=C2</formula>
    </cfRule>
  </conditionalFormatting>
  <hyperlinks>
    <hyperlink ref="E14" r:id="rId1" xr:uid="{DF749970-77E7-44C8-BC69-7A37E745EE55}"/>
    <hyperlink ref="A13" r:id="rId2" xr:uid="{3EA4D2C2-5984-4DDA-AF92-77D63CC66A4D}"/>
  </hyperlinks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1"/>
  <dimension ref="A1:L29"/>
  <sheetViews>
    <sheetView workbookViewId="0">
      <selection activeCell="L5" sqref="L5"/>
    </sheetView>
  </sheetViews>
  <sheetFormatPr defaultRowHeight="15"/>
  <cols>
    <col min="1" max="2" width="23" customWidth="1"/>
    <col min="3" max="3" width="13.7109375" style="48" customWidth="1"/>
    <col min="4" max="4" width="4" style="49" customWidth="1"/>
    <col min="5" max="5" width="11.42578125" style="52" customWidth="1"/>
    <col min="6" max="6" width="4.140625" style="53" customWidth="1"/>
    <col min="7" max="7" width="15.85546875" style="43" customWidth="1"/>
    <col min="8" max="8" width="13.42578125" style="43" customWidth="1"/>
    <col min="9" max="9" width="15.5703125" style="54" customWidth="1"/>
    <col min="10" max="10" width="12.42578125" style="56" customWidth="1"/>
  </cols>
  <sheetData>
    <row r="1" spans="1:12">
      <c r="A1" t="s">
        <v>72</v>
      </c>
      <c r="B1" s="40" t="s">
        <v>72</v>
      </c>
      <c r="C1" s="46" t="s">
        <v>73</v>
      </c>
      <c r="D1" s="47" t="s">
        <v>74</v>
      </c>
      <c r="E1" s="50" t="s">
        <v>75</v>
      </c>
      <c r="F1" s="51" t="s">
        <v>76</v>
      </c>
      <c r="G1" s="42"/>
    </row>
    <row r="2" spans="1:12">
      <c r="A2" t="s">
        <v>132</v>
      </c>
      <c r="B2" s="40" t="s">
        <v>77</v>
      </c>
      <c r="C2" s="46" t="s">
        <v>70</v>
      </c>
      <c r="D2" s="47">
        <v>22</v>
      </c>
      <c r="E2" s="50" t="s">
        <v>78</v>
      </c>
      <c r="F2" s="51">
        <v>29</v>
      </c>
      <c r="G2" s="44" t="str" cm="1">
        <f t="array" ref="G2">snm(D2)</f>
        <v>255.255.252.0</v>
      </c>
      <c r="H2" s="45" t="str">
        <f>NID(C2,D2)</f>
        <v>192.168.8.0</v>
      </c>
      <c r="I2" s="55" t="str" cm="1">
        <f t="array" ref="I2">snm(F2)</f>
        <v>255.255.255.248</v>
      </c>
      <c r="J2" s="56" t="str">
        <f>NID(E2,F2)</f>
        <v>20.3.1.112</v>
      </c>
    </row>
    <row r="3" spans="1:12">
      <c r="A3" t="s">
        <v>133</v>
      </c>
      <c r="B3" s="40" t="s">
        <v>79</v>
      </c>
      <c r="C3" s="46" t="s">
        <v>71</v>
      </c>
      <c r="D3" s="47">
        <v>24</v>
      </c>
      <c r="E3" s="50" t="s">
        <v>80</v>
      </c>
      <c r="F3" s="51">
        <v>26</v>
      </c>
      <c r="G3" s="44" t="str" cm="1">
        <f t="array" ref="G3">snm(D3)</f>
        <v>255.255.255.0</v>
      </c>
      <c r="H3" s="45" t="str">
        <f t="shared" ref="H3:H29" si="0">NID(C3,D3)</f>
        <v>20.2.2.0</v>
      </c>
      <c r="I3" s="55" t="str" cm="1">
        <f t="array" ref="I3">snm(F3)</f>
        <v>255.255.255.192</v>
      </c>
      <c r="J3" s="56" t="str">
        <f t="shared" ref="J3:J29" si="1">NID(E3,F3)</f>
        <v>20.1.10.192</v>
      </c>
    </row>
    <row r="4" spans="1:12">
      <c r="A4" t="s">
        <v>134</v>
      </c>
      <c r="B4" s="40" t="s">
        <v>81</v>
      </c>
      <c r="C4" s="46" t="s">
        <v>80</v>
      </c>
      <c r="D4" s="47">
        <v>25</v>
      </c>
      <c r="E4" s="50" t="s">
        <v>82</v>
      </c>
      <c r="F4" s="51">
        <v>22</v>
      </c>
      <c r="G4" s="44" t="str" cm="1">
        <f t="array" ref="G4">snm(D4)</f>
        <v>255.255.255.128</v>
      </c>
      <c r="H4" s="45" t="str">
        <f t="shared" si="0"/>
        <v>20.1.10.128</v>
      </c>
      <c r="I4" s="55" t="str" cm="1">
        <f t="array" ref="I4">snm(F4)</f>
        <v>255.255.252.0</v>
      </c>
      <c r="J4" s="56" t="str">
        <f t="shared" si="1"/>
        <v>192.1.8.0</v>
      </c>
      <c r="L4" t="str">
        <f>snm(D4)</f>
        <v>255.255.255.128</v>
      </c>
    </row>
    <row r="5" spans="1:12">
      <c r="A5" t="s">
        <v>135</v>
      </c>
      <c r="B5" s="40" t="s">
        <v>83</v>
      </c>
      <c r="C5" s="46" t="s">
        <v>78</v>
      </c>
      <c r="D5" s="47">
        <v>27</v>
      </c>
      <c r="E5" s="50" t="s">
        <v>80</v>
      </c>
      <c r="F5" s="51">
        <v>21</v>
      </c>
      <c r="G5" s="44" t="str" cm="1">
        <f t="array" ref="G5">snm(D5)</f>
        <v>255.255.255.224</v>
      </c>
      <c r="H5" s="45" t="str">
        <f t="shared" si="0"/>
        <v>20.3.1.96</v>
      </c>
      <c r="I5" s="55" t="str" cm="1">
        <f t="array" ref="I5">snm(F5)</f>
        <v>255.255.248.0</v>
      </c>
      <c r="J5" s="56" t="str">
        <f t="shared" si="1"/>
        <v>20.1.8.0</v>
      </c>
    </row>
    <row r="6" spans="1:12">
      <c r="A6" t="s">
        <v>136</v>
      </c>
      <c r="B6" s="40" t="s">
        <v>84</v>
      </c>
      <c r="C6" s="46" t="s">
        <v>85</v>
      </c>
      <c r="D6" s="47">
        <v>25</v>
      </c>
      <c r="E6" s="50" t="s">
        <v>78</v>
      </c>
      <c r="F6" s="51">
        <v>26</v>
      </c>
      <c r="G6" s="44" t="str" cm="1">
        <f t="array" ref="G6">snm(D6)</f>
        <v>255.255.255.128</v>
      </c>
      <c r="H6" s="45" t="str">
        <f t="shared" si="0"/>
        <v>20.2.1.0</v>
      </c>
      <c r="I6" s="55" t="str" cm="1">
        <f t="array" ref="I6">snm(F6)</f>
        <v>255.255.255.192</v>
      </c>
      <c r="J6" s="56" t="str">
        <f t="shared" si="1"/>
        <v>20.3.1.64</v>
      </c>
    </row>
    <row r="7" spans="1:12">
      <c r="A7" t="s">
        <v>137</v>
      </c>
      <c r="B7" s="40" t="s">
        <v>86</v>
      </c>
      <c r="C7" s="46" t="s">
        <v>87</v>
      </c>
      <c r="D7" s="47">
        <v>22</v>
      </c>
      <c r="E7" s="50" t="s">
        <v>85</v>
      </c>
      <c r="F7" s="51">
        <v>23</v>
      </c>
      <c r="G7" s="44" t="str" cm="1">
        <f t="array" ref="G7">snm(D7)</f>
        <v>255.255.252.0</v>
      </c>
      <c r="H7" s="45" t="str">
        <f t="shared" si="0"/>
        <v>20.2.12.0</v>
      </c>
      <c r="I7" s="55" t="str" cm="1">
        <f t="array" ref="I7">snm(F7)</f>
        <v>255.255.254.0</v>
      </c>
      <c r="J7" s="56" t="str">
        <f t="shared" si="1"/>
        <v>20.2.0.0</v>
      </c>
    </row>
    <row r="8" spans="1:12">
      <c r="A8" t="s">
        <v>138</v>
      </c>
      <c r="B8" s="40" t="s">
        <v>88</v>
      </c>
      <c r="C8" s="46" t="s">
        <v>89</v>
      </c>
      <c r="D8" s="47">
        <v>27</v>
      </c>
      <c r="E8" s="50" t="s">
        <v>87</v>
      </c>
      <c r="F8" s="51">
        <v>29</v>
      </c>
      <c r="G8" s="44" t="str" cm="1">
        <f t="array" ref="G8">snm(D8)</f>
        <v>255.255.255.224</v>
      </c>
      <c r="H8" s="45" t="str">
        <f t="shared" si="0"/>
        <v>20.0.11.64</v>
      </c>
      <c r="I8" s="55" t="str" cm="1">
        <f t="array" ref="I8">snm(F8)</f>
        <v>255.255.255.248</v>
      </c>
      <c r="J8" s="56" t="str">
        <f t="shared" si="1"/>
        <v>20.2.12.128</v>
      </c>
    </row>
    <row r="9" spans="1:12">
      <c r="A9" t="s">
        <v>139</v>
      </c>
      <c r="B9" s="40" t="s">
        <v>90</v>
      </c>
      <c r="C9" s="46" t="s">
        <v>91</v>
      </c>
      <c r="D9" s="47">
        <v>29</v>
      </c>
      <c r="E9" s="50" t="s">
        <v>89</v>
      </c>
      <c r="F9" s="51">
        <v>22</v>
      </c>
      <c r="G9" s="44" t="str" cm="1">
        <f t="array" ref="G9">snm(D9)</f>
        <v>255.255.255.248</v>
      </c>
      <c r="H9" s="45" t="str">
        <f t="shared" si="0"/>
        <v>20.3.2.96</v>
      </c>
      <c r="I9" s="55" t="str" cm="1">
        <f t="array" ref="I9">snm(F9)</f>
        <v>255.255.252.0</v>
      </c>
      <c r="J9" s="56" t="str">
        <f t="shared" si="1"/>
        <v>20.0.8.0</v>
      </c>
    </row>
    <row r="10" spans="1:12">
      <c r="A10" t="s">
        <v>140</v>
      </c>
      <c r="B10" s="40" t="s">
        <v>92</v>
      </c>
      <c r="C10" s="46" t="s">
        <v>93</v>
      </c>
      <c r="D10" s="47">
        <v>26</v>
      </c>
      <c r="E10" s="50" t="s">
        <v>91</v>
      </c>
      <c r="F10" s="51">
        <v>22</v>
      </c>
      <c r="G10" s="44" t="str" cm="1">
        <f t="array" ref="G10">snm(D10)</f>
        <v>255.255.255.192</v>
      </c>
      <c r="H10" s="45" t="str">
        <f t="shared" si="0"/>
        <v>20.3.1.192</v>
      </c>
      <c r="I10" s="55" t="str" cm="1">
        <f t="array" ref="I10">snm(F10)</f>
        <v>255.255.252.0</v>
      </c>
      <c r="J10" s="56" t="str">
        <f t="shared" si="1"/>
        <v>20.3.0.0</v>
      </c>
    </row>
    <row r="11" spans="1:12">
      <c r="A11" t="s">
        <v>141</v>
      </c>
      <c r="B11" s="40" t="s">
        <v>94</v>
      </c>
      <c r="C11" s="46" t="s">
        <v>95</v>
      </c>
      <c r="D11" s="47">
        <v>25</v>
      </c>
      <c r="E11" s="50" t="s">
        <v>93</v>
      </c>
      <c r="F11" s="51">
        <v>28</v>
      </c>
      <c r="G11" s="44" t="str" cm="1">
        <f t="array" ref="G11">snm(D11)</f>
        <v>255.255.255.128</v>
      </c>
      <c r="H11" s="45" t="str">
        <f t="shared" si="0"/>
        <v>20.2.5.128</v>
      </c>
      <c r="I11" s="55" t="str" cm="1">
        <f t="array" ref="I11">snm(F11)</f>
        <v>255.255.255.240</v>
      </c>
      <c r="J11" s="56" t="str">
        <f t="shared" si="1"/>
        <v>20.3.1.224</v>
      </c>
    </row>
    <row r="12" spans="1:12">
      <c r="A12" t="s">
        <v>142</v>
      </c>
      <c r="B12" s="40" t="s">
        <v>96</v>
      </c>
      <c r="C12" s="46" t="s">
        <v>97</v>
      </c>
      <c r="D12" s="47">
        <v>21</v>
      </c>
      <c r="E12" s="50" t="s">
        <v>95</v>
      </c>
      <c r="F12" s="51">
        <v>24</v>
      </c>
      <c r="G12" s="44" t="str" cm="1">
        <f t="array" ref="G12">snm(D12)</f>
        <v>255.255.248.0</v>
      </c>
      <c r="H12" s="45" t="str">
        <f t="shared" si="0"/>
        <v>20.2.0.0</v>
      </c>
      <c r="I12" s="55" t="str" cm="1">
        <f t="array" ref="I12">snm(F12)</f>
        <v>255.255.255.0</v>
      </c>
      <c r="J12" s="56" t="str">
        <f t="shared" si="1"/>
        <v>20.2.5.0</v>
      </c>
    </row>
    <row r="13" spans="1:12">
      <c r="A13" t="s">
        <v>143</v>
      </c>
      <c r="B13" s="40" t="s">
        <v>98</v>
      </c>
      <c r="C13" s="46" t="s">
        <v>99</v>
      </c>
      <c r="D13" s="47">
        <v>26</v>
      </c>
      <c r="E13" s="50" t="s">
        <v>97</v>
      </c>
      <c r="F13" s="51">
        <v>25</v>
      </c>
      <c r="G13" s="44" t="str" cm="1">
        <f t="array" ref="G13">snm(D13)</f>
        <v>255.255.255.192</v>
      </c>
      <c r="H13" s="45" t="str">
        <f t="shared" si="0"/>
        <v>20.2.2.128</v>
      </c>
      <c r="I13" s="55" t="str" cm="1">
        <f t="array" ref="I13">snm(F13)</f>
        <v>255.255.255.128</v>
      </c>
      <c r="J13" s="56" t="str">
        <f t="shared" si="1"/>
        <v>20.2.5.128</v>
      </c>
    </row>
    <row r="14" spans="1:12">
      <c r="A14" t="s">
        <v>144</v>
      </c>
      <c r="B14" s="40" t="s">
        <v>100</v>
      </c>
      <c r="C14" s="46" t="s">
        <v>101</v>
      </c>
      <c r="D14" s="47">
        <v>23</v>
      </c>
      <c r="E14" s="50" t="s">
        <v>99</v>
      </c>
      <c r="F14" s="51">
        <v>26</v>
      </c>
      <c r="G14" s="44" t="str" cm="1">
        <f t="array" ref="G14">snm(D14)</f>
        <v>255.255.254.0</v>
      </c>
      <c r="H14" s="45" t="str">
        <f t="shared" si="0"/>
        <v>20.2.6.0</v>
      </c>
      <c r="I14" s="55" t="str" cm="1">
        <f t="array" ref="I14">snm(F14)</f>
        <v>255.255.255.192</v>
      </c>
      <c r="J14" s="56" t="str">
        <f t="shared" si="1"/>
        <v>20.2.2.128</v>
      </c>
    </row>
    <row r="15" spans="1:12">
      <c r="A15" t="s">
        <v>145</v>
      </c>
      <c r="B15" s="40" t="s">
        <v>102</v>
      </c>
      <c r="C15" s="46" t="s">
        <v>103</v>
      </c>
      <c r="D15" s="47">
        <v>29</v>
      </c>
      <c r="E15" s="50" t="s">
        <v>101</v>
      </c>
      <c r="F15" s="51">
        <v>27</v>
      </c>
      <c r="G15" s="44" t="str" cm="1">
        <f t="array" ref="G15">snm(D15)</f>
        <v>255.255.255.248</v>
      </c>
      <c r="H15" s="45" t="str">
        <f t="shared" si="0"/>
        <v>20.2.7.224</v>
      </c>
      <c r="I15" s="55" t="str" cm="1">
        <f t="array" ref="I15">snm(F15)</f>
        <v>255.255.255.224</v>
      </c>
      <c r="J15" s="56" t="str">
        <f t="shared" si="1"/>
        <v>20.2.7.224</v>
      </c>
    </row>
    <row r="16" spans="1:12">
      <c r="A16" t="s">
        <v>146</v>
      </c>
      <c r="B16" s="40" t="s">
        <v>104</v>
      </c>
      <c r="C16" s="46" t="s">
        <v>105</v>
      </c>
      <c r="D16" s="47">
        <v>29</v>
      </c>
      <c r="E16" s="50" t="s">
        <v>103</v>
      </c>
      <c r="F16" s="51">
        <v>28</v>
      </c>
      <c r="G16" s="44" t="str" cm="1">
        <f t="array" ref="G16">snm(D16)</f>
        <v>255.255.255.248</v>
      </c>
      <c r="H16" s="45" t="str">
        <f t="shared" si="0"/>
        <v>20.2.8.224</v>
      </c>
      <c r="I16" s="55" t="str" cm="1">
        <f t="array" ref="I16">snm(F16)</f>
        <v>255.255.255.240</v>
      </c>
      <c r="J16" s="56" t="str">
        <f t="shared" si="1"/>
        <v>20.2.7.224</v>
      </c>
    </row>
    <row r="17" spans="1:10">
      <c r="A17" t="s">
        <v>147</v>
      </c>
      <c r="B17" s="40" t="s">
        <v>106</v>
      </c>
      <c r="C17" s="46" t="s">
        <v>107</v>
      </c>
      <c r="D17" s="47">
        <v>26</v>
      </c>
      <c r="E17" s="50" t="s">
        <v>105</v>
      </c>
      <c r="F17" s="51">
        <v>25</v>
      </c>
      <c r="G17" s="44" t="str" cm="1">
        <f t="array" ref="G17">snm(D17)</f>
        <v>255.255.255.192</v>
      </c>
      <c r="H17" s="45" t="str">
        <f t="shared" si="0"/>
        <v>192.168.10.128</v>
      </c>
      <c r="I17" s="55" t="str" cm="1">
        <f t="array" ref="I17">snm(F17)</f>
        <v>255.255.255.128</v>
      </c>
      <c r="J17" s="56" t="str">
        <f t="shared" si="1"/>
        <v>20.2.8.128</v>
      </c>
    </row>
    <row r="18" spans="1:10">
      <c r="A18" t="s">
        <v>148</v>
      </c>
      <c r="B18" s="40" t="s">
        <v>108</v>
      </c>
      <c r="C18" s="46" t="s">
        <v>109</v>
      </c>
      <c r="D18" s="47">
        <v>28</v>
      </c>
      <c r="E18" s="50" t="s">
        <v>80</v>
      </c>
      <c r="F18" s="51">
        <v>23</v>
      </c>
      <c r="G18" s="44" t="str" cm="1">
        <f t="array" ref="G18">snm(D18)</f>
        <v>255.255.255.240</v>
      </c>
      <c r="H18" s="45" t="str">
        <f t="shared" si="0"/>
        <v>20.2.2.224</v>
      </c>
      <c r="I18" s="55" t="str" cm="1">
        <f t="array" ref="I18">snm(F18)</f>
        <v>255.255.254.0</v>
      </c>
      <c r="J18" s="56" t="str">
        <f t="shared" si="1"/>
        <v>20.1.10.0</v>
      </c>
    </row>
    <row r="19" spans="1:10">
      <c r="A19" t="s">
        <v>149</v>
      </c>
      <c r="B19" s="40" t="s">
        <v>110</v>
      </c>
      <c r="C19" s="46" t="s">
        <v>111</v>
      </c>
      <c r="D19" s="47">
        <v>24</v>
      </c>
      <c r="E19" s="50" t="s">
        <v>78</v>
      </c>
      <c r="F19" s="51">
        <v>24</v>
      </c>
      <c r="G19" s="44" t="str" cm="1">
        <f t="array" ref="G19">snm(D19)</f>
        <v>255.255.255.0</v>
      </c>
      <c r="H19" s="45" t="str">
        <f t="shared" si="0"/>
        <v>20.1.10.0</v>
      </c>
      <c r="I19" s="55" t="str" cm="1">
        <f t="array" ref="I19">snm(F19)</f>
        <v>255.255.255.0</v>
      </c>
      <c r="J19" s="56" t="str">
        <f t="shared" si="1"/>
        <v>20.3.1.0</v>
      </c>
    </row>
    <row r="20" spans="1:10">
      <c r="A20" t="s">
        <v>150</v>
      </c>
      <c r="B20" s="40" t="s">
        <v>112</v>
      </c>
      <c r="C20" s="46" t="s">
        <v>113</v>
      </c>
      <c r="D20" s="47">
        <v>25</v>
      </c>
      <c r="E20" s="50" t="s">
        <v>85</v>
      </c>
      <c r="F20" s="51">
        <v>26</v>
      </c>
      <c r="G20" s="44" t="str" cm="1">
        <f t="array" ref="G20">snm(D20)</f>
        <v>255.255.255.128</v>
      </c>
      <c r="H20" s="45" t="str">
        <f t="shared" si="0"/>
        <v>20.3.1.128</v>
      </c>
      <c r="I20" s="55" t="str" cm="1">
        <f t="array" ref="I20">snm(F20)</f>
        <v>255.255.255.192</v>
      </c>
      <c r="J20" s="56" t="str">
        <f t="shared" si="1"/>
        <v>20.2.1.0</v>
      </c>
    </row>
    <row r="21" spans="1:10">
      <c r="A21" t="s">
        <v>151</v>
      </c>
      <c r="B21" s="40" t="s">
        <v>114</v>
      </c>
      <c r="C21" s="46" t="s">
        <v>115</v>
      </c>
      <c r="D21" s="47">
        <v>26</v>
      </c>
      <c r="E21" s="50" t="s">
        <v>87</v>
      </c>
      <c r="F21" s="51">
        <v>27</v>
      </c>
      <c r="G21" s="44" t="str" cm="1">
        <f t="array" ref="G21">snm(D21)</f>
        <v>255.255.255.192</v>
      </c>
      <c r="H21" s="45" t="str">
        <f t="shared" si="0"/>
        <v>20.2.1.192</v>
      </c>
      <c r="I21" s="55" t="str" cm="1">
        <f t="array" ref="I21">snm(F21)</f>
        <v>255.255.255.224</v>
      </c>
      <c r="J21" s="56" t="str">
        <f t="shared" si="1"/>
        <v>20.2.12.128</v>
      </c>
    </row>
    <row r="22" spans="1:10">
      <c r="A22" t="s">
        <v>152</v>
      </c>
      <c r="B22" s="40" t="s">
        <v>116</v>
      </c>
      <c r="C22" s="46" t="s">
        <v>117</v>
      </c>
      <c r="D22" s="47">
        <v>27</v>
      </c>
      <c r="E22" s="50" t="s">
        <v>89</v>
      </c>
      <c r="F22" s="51">
        <v>22</v>
      </c>
      <c r="G22" s="44" t="str" cm="1">
        <f t="array" ref="G22">snm(D22)</f>
        <v>255.255.255.224</v>
      </c>
      <c r="H22" s="45" t="str">
        <f t="shared" si="0"/>
        <v>20.2.12.128</v>
      </c>
      <c r="I22" s="55" t="str" cm="1">
        <f t="array" ref="I22">snm(F22)</f>
        <v>255.255.252.0</v>
      </c>
      <c r="J22" s="56" t="str">
        <f t="shared" si="1"/>
        <v>20.0.8.0</v>
      </c>
    </row>
    <row r="23" spans="1:10">
      <c r="A23" t="s">
        <v>153</v>
      </c>
      <c r="B23" s="40" t="s">
        <v>118</v>
      </c>
      <c r="C23" s="46" t="s">
        <v>119</v>
      </c>
      <c r="D23" s="47">
        <v>28</v>
      </c>
      <c r="E23" s="50" t="s">
        <v>91</v>
      </c>
      <c r="F23" s="51">
        <v>29</v>
      </c>
      <c r="G23" s="44" t="str" cm="1">
        <f t="array" ref="G23">snm(D23)</f>
        <v>255.255.255.240</v>
      </c>
      <c r="H23" s="45" t="str">
        <f t="shared" si="0"/>
        <v>20.0.11.112</v>
      </c>
      <c r="I23" s="55" t="str" cm="1">
        <f t="array" ref="I23">snm(F23)</f>
        <v>255.255.255.248</v>
      </c>
      <c r="J23" s="56" t="str">
        <f t="shared" si="1"/>
        <v>20.3.2.96</v>
      </c>
    </row>
    <row r="24" spans="1:10">
      <c r="A24" t="s">
        <v>154</v>
      </c>
      <c r="B24" s="40" t="s">
        <v>120</v>
      </c>
      <c r="C24" s="46" t="s">
        <v>121</v>
      </c>
      <c r="D24" s="47">
        <v>25</v>
      </c>
      <c r="E24" s="50" t="s">
        <v>93</v>
      </c>
      <c r="F24" s="51">
        <v>26</v>
      </c>
      <c r="G24" s="44" t="str" cm="1">
        <f t="array" ref="G24">snm(D24)</f>
        <v>255.255.255.128</v>
      </c>
      <c r="H24" s="45" t="str">
        <f t="shared" si="0"/>
        <v>20.3.2.0</v>
      </c>
      <c r="I24" s="55" t="str" cm="1">
        <f t="array" ref="I24">snm(F24)</f>
        <v>255.255.255.192</v>
      </c>
      <c r="J24" s="56" t="str">
        <f t="shared" si="1"/>
        <v>20.3.1.192</v>
      </c>
    </row>
    <row r="25" spans="1:10">
      <c r="A25" t="s">
        <v>155</v>
      </c>
      <c r="B25" s="40" t="s">
        <v>122</v>
      </c>
      <c r="C25" s="46" t="s">
        <v>131</v>
      </c>
      <c r="D25" s="47">
        <v>23</v>
      </c>
      <c r="E25" s="50" t="s">
        <v>80</v>
      </c>
      <c r="F25" s="51">
        <v>29</v>
      </c>
      <c r="G25" s="44" t="str" cm="1">
        <f t="array" ref="G25">snm(D25)</f>
        <v>255.255.254.0</v>
      </c>
      <c r="H25" s="45" t="str">
        <f t="shared" si="0"/>
        <v>20.3.0.0</v>
      </c>
      <c r="I25" s="55" t="str" cm="1">
        <f t="array" ref="I25">snm(F25)</f>
        <v>255.255.255.248</v>
      </c>
      <c r="J25" s="56" t="str">
        <f t="shared" si="1"/>
        <v>20.1.10.216</v>
      </c>
    </row>
    <row r="26" spans="1:10">
      <c r="A26" t="s">
        <v>156</v>
      </c>
      <c r="B26" s="41" t="s">
        <v>123</v>
      </c>
      <c r="C26" s="46" t="s">
        <v>124</v>
      </c>
      <c r="D26" s="47">
        <v>24</v>
      </c>
      <c r="E26" s="50" t="s">
        <v>78</v>
      </c>
      <c r="F26" s="51">
        <v>26</v>
      </c>
      <c r="G26" s="44" t="str" cm="1">
        <f t="array" ref="G26">snm(D26)</f>
        <v>255.255.255.0</v>
      </c>
      <c r="H26" s="45" t="str">
        <f t="shared" si="0"/>
        <v>20.2.5.0</v>
      </c>
      <c r="I26" s="55" t="str" cm="1">
        <f t="array" ref="I26">snm(F26)</f>
        <v>255.255.255.192</v>
      </c>
      <c r="J26" s="56" t="str">
        <f t="shared" si="1"/>
        <v>20.3.1.64</v>
      </c>
    </row>
    <row r="27" spans="1:10">
      <c r="B27" s="41" t="s">
        <v>125</v>
      </c>
      <c r="C27" s="46" t="s">
        <v>126</v>
      </c>
      <c r="D27" s="47">
        <v>26</v>
      </c>
      <c r="E27" s="50" t="s">
        <v>85</v>
      </c>
      <c r="F27" s="51">
        <v>25</v>
      </c>
      <c r="G27" s="44" t="str" cm="1">
        <f t="array" ref="G27">snm(D27)</f>
        <v>255.255.255.192</v>
      </c>
      <c r="H27" s="45" t="str">
        <f t="shared" si="0"/>
        <v>20.2.5.128</v>
      </c>
      <c r="I27" s="55" t="str" cm="1">
        <f t="array" ref="I27">snm(F27)</f>
        <v>255.255.255.128</v>
      </c>
      <c r="J27" s="56" t="str">
        <f t="shared" si="1"/>
        <v>20.2.1.0</v>
      </c>
    </row>
    <row r="28" spans="1:10">
      <c r="B28" s="41" t="s">
        <v>127</v>
      </c>
      <c r="C28" s="46" t="s">
        <v>128</v>
      </c>
      <c r="D28" s="47">
        <v>27</v>
      </c>
      <c r="E28" s="50" t="s">
        <v>87</v>
      </c>
      <c r="F28" s="51">
        <v>21</v>
      </c>
      <c r="G28" s="44" t="str" cm="1">
        <f t="array" ref="G28">snm(D28)</f>
        <v>255.255.255.224</v>
      </c>
      <c r="H28" s="45" t="str">
        <f t="shared" si="0"/>
        <v>20.2.2.192</v>
      </c>
      <c r="I28" s="55" t="str" cm="1">
        <f t="array" ref="I28">snm(F28)</f>
        <v>255.255.248.0</v>
      </c>
      <c r="J28" s="56" t="str">
        <f t="shared" si="1"/>
        <v>20.2.8.0</v>
      </c>
    </row>
    <row r="29" spans="1:10">
      <c r="B29" t="s">
        <v>129</v>
      </c>
      <c r="C29" s="48" t="s">
        <v>130</v>
      </c>
      <c r="D29" s="49">
        <v>22</v>
      </c>
      <c r="E29" s="52" t="s">
        <v>89</v>
      </c>
      <c r="F29" s="53">
        <v>26</v>
      </c>
      <c r="G29" s="44" t="str" cm="1">
        <f t="array" ref="G29">snm(D29)</f>
        <v>255.255.252.0</v>
      </c>
      <c r="H29" s="45" t="str">
        <f t="shared" si="0"/>
        <v>20.2.4.0</v>
      </c>
      <c r="I29" s="55" t="str" cm="1">
        <f t="array" ref="I29">snm(F29)</f>
        <v>255.255.255.192</v>
      </c>
      <c r="J29" s="56" t="str">
        <f t="shared" si="1"/>
        <v>20.0.11.64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142.159.70.178</vt:lpstr>
      <vt:lpstr>118.25.74.86</vt:lpstr>
      <vt:lpstr>144.72.60.1</vt:lpstr>
      <vt:lpstr>229.93.192.39</vt:lpstr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wmszki wmszki</dc:creator>
  <cp:lastModifiedBy>Prokesch László</cp:lastModifiedBy>
  <dcterms:created xsi:type="dcterms:W3CDTF">2019-05-01T16:53:38Z</dcterms:created>
  <dcterms:modified xsi:type="dcterms:W3CDTF">2020-10-18T11:02:40Z</dcterms:modified>
</cp:coreProperties>
</file>